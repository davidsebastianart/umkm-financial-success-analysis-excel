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hidePivotFieldList="1"/>
  <mc:AlternateContent xmlns:mc="http://schemas.openxmlformats.org/markup-compatibility/2006">
    <mc:Choice Requires="x15">
      <x15ac:absPath xmlns:x15ac="http://schemas.microsoft.com/office/spreadsheetml/2010/11/ac" url="/Users/macbook/Documents/UMKM Financial Performance Analysis /"/>
    </mc:Choice>
  </mc:AlternateContent>
  <xr:revisionPtr revIDLastSave="0" documentId="13_ncr:1_{FE7C0521-3E44-FB45-B4BB-C2B909123B0A}" xr6:coauthVersionLast="47" xr6:coauthVersionMax="47" xr10:uidLastSave="{00000000-0000-0000-0000-000000000000}"/>
  <bookViews>
    <workbookView xWindow="0" yWindow="0" windowWidth="28800" windowHeight="18000" activeTab="1" xr2:uid="{F758D3BA-12A5-9F49-A8F2-7E64B5B4C801}"/>
  </bookViews>
  <sheets>
    <sheet name="PivotTable" sheetId="3" r:id="rId1"/>
    <sheet name="Dashboard" sheetId="5" r:id="rId2"/>
    <sheet name="Dataset Description" sheetId="7" r:id="rId3"/>
    <sheet name="Questions" sheetId="4" r:id="rId4"/>
    <sheet name="Raw Data" sheetId="2" r:id="rId5"/>
  </sheets>
  <definedNames>
    <definedName name="ExternalData_1" localSheetId="4" hidden="1">'Raw Data'!$A$1:$P$251</definedName>
    <definedName name="Slicer_Financial_Score_Category">#N/A</definedName>
    <definedName name="Slicer_Internet_Usage_Label">#N/A</definedName>
    <definedName name="Slicer_Marketing_Score_Category">#N/A</definedName>
    <definedName name="Slicer_Owner_Gender_Label">#N/A</definedName>
  </definedNames>
  <calcPr calcId="191029"/>
  <pivotCaches>
    <pivotCache cacheId="1"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C8" i="5" l="1"/>
  <c r="C9"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D03FE26-6AD4-EE49-BF00-1485023E4F2E}" keepAlive="1" name="Query - umkm_success_prediction_with_success" description="Connection to the 'umkm_success_prediction_with_success' query in the workbook." type="5" refreshedVersion="8" background="1" saveData="1">
    <dbPr connection="Provider=Microsoft.Mashup.OleDb.1;Data Source=$Workbook$;Location=umkm_success_prediction_with_success;Extended Properties=&quot;&quot;" command="SELECT * FROM [umkm_success_prediction_with_success]"/>
  </connection>
</connections>
</file>

<file path=xl/sharedStrings.xml><?xml version="1.0" encoding="utf-8"?>
<sst xmlns="http://schemas.openxmlformats.org/spreadsheetml/2006/main" count="2643" uniqueCount="118">
  <si>
    <t>Age</t>
  </si>
  <si>
    <t>Education</t>
  </si>
  <si>
    <t>Marketing_Effort</t>
  </si>
  <si>
    <t>Professional_Advice</t>
  </si>
  <si>
    <t>industry_Experience</t>
  </si>
  <si>
    <t>Initial_Capital_Label</t>
  </si>
  <si>
    <t>Financial_Record_Keeping_Label</t>
  </si>
  <si>
    <t>Success_Label</t>
  </si>
  <si>
    <t>Owner_Gender_Label</t>
  </si>
  <si>
    <t>Internet_Usage_Label</t>
  </si>
  <si>
    <t>Business_Plan_Label</t>
  </si>
  <si>
    <t>Partnership_Label</t>
  </si>
  <si>
    <t>Parent_Business_Experience_Label</t>
  </si>
  <si>
    <t>Financial_Score</t>
  </si>
  <si>
    <t>Financial_Score_Category</t>
  </si>
  <si>
    <t>Marketing_Score_Category</t>
  </si>
  <si>
    <t>Insufficient</t>
  </si>
  <si>
    <t>Poor</t>
  </si>
  <si>
    <t>Not Successful</t>
  </si>
  <si>
    <t>Male</t>
  </si>
  <si>
    <t>No</t>
  </si>
  <si>
    <t>Yes</t>
  </si>
  <si>
    <t>Weak</t>
  </si>
  <si>
    <t>High</t>
  </si>
  <si>
    <t>Sufficient</t>
  </si>
  <si>
    <t>Good</t>
  </si>
  <si>
    <t>Strong</t>
  </si>
  <si>
    <t>Moderate</t>
  </si>
  <si>
    <t>Female</t>
  </si>
  <si>
    <t>Medium</t>
  </si>
  <si>
    <t>Successful</t>
  </si>
  <si>
    <t>Low</t>
  </si>
  <si>
    <t>Questions</t>
  </si>
  <si>
    <t>Data</t>
  </si>
  <si>
    <t>Financial_Score_Category, Success_Label</t>
  </si>
  <si>
    <t>Owner_Gender_Label, Success_Label</t>
  </si>
  <si>
    <t>Marketing_Score_Category, Success_Label</t>
  </si>
  <si>
    <t>Internet_Usage_Label, Marketing_Score_Category, Success_Label</t>
  </si>
  <si>
    <t>Initial_Capital_Label, Age, Industry_Experience, Success_Label</t>
  </si>
  <si>
    <t>Professional_Advice, Success_Label, Financial_Score (opsional)</t>
  </si>
  <si>
    <t>Grand Total</t>
  </si>
  <si>
    <t>Success Labels</t>
  </si>
  <si>
    <t>Financial Score Category</t>
  </si>
  <si>
    <t>Overall UMKM Success Rate</t>
  </si>
  <si>
    <t>Gender Label</t>
  </si>
  <si>
    <t>Marketing Effort Category</t>
  </si>
  <si>
    <t>Success Rate By Financial Score Category</t>
  </si>
  <si>
    <t>Success Rate by Owner Gender</t>
  </si>
  <si>
    <t>Success Rate by Marketing Effort Category</t>
  </si>
  <si>
    <t>Internet Usage Label</t>
  </si>
  <si>
    <t>Success Rate by Marketing Effort Category &amp; Internet Usage</t>
  </si>
  <si>
    <t>Initial Capital Label</t>
  </si>
  <si>
    <t>Avg of industry Experience</t>
  </si>
  <si>
    <t>Avg of Age</t>
  </si>
  <si>
    <t>Age &amp; Industry Experience by Initial Capital Adequacy</t>
  </si>
  <si>
    <t>Professional Advice</t>
  </si>
  <si>
    <t>Avg of Financial Score</t>
  </si>
  <si>
    <t>Count of Success Label</t>
  </si>
  <si>
    <t xml:space="preserve">   Successful</t>
  </si>
  <si>
    <t xml:space="preserve">   Not Successful</t>
  </si>
  <si>
    <t>Age &amp; Industry Experience by Initial Capital</t>
  </si>
  <si>
    <t>Count of Succes Label</t>
  </si>
  <si>
    <t>Attribute Name</t>
  </si>
  <si>
    <t>Data Type / Values</t>
  </si>
  <si>
    <t>Notes / Remarks</t>
  </si>
  <si>
    <t>Age of the business owner in years</t>
  </si>
  <si>
    <t>Numeric (integer)</t>
  </si>
  <si>
    <t>Range: typically 18–60 years</t>
  </si>
  <si>
    <t>Education level of the business owner</t>
  </si>
  <si>
    <t>Numeric (ordinal): 1 = Elementary, 2 = Junior High, 3 = Senior High, 4 = Bachelor, etc.</t>
  </si>
  <si>
    <t>Ordinal scale</t>
  </si>
  <si>
    <t>Initial_Capital</t>
  </si>
  <si>
    <t>Adequacy of initial capital</t>
  </si>
  <si>
    <t>Binary: 1 = Adequate, 0 = Inadequate</t>
  </si>
  <si>
    <t>Core financial indicator</t>
  </si>
  <si>
    <t>Financial_Record_Keeping</t>
  </si>
  <si>
    <t>Quality of financial record-keeping</t>
  </si>
  <si>
    <t>Binary: 1 = Good, 0 = Poor</t>
  </si>
  <si>
    <t>Key factor for financial discipline</t>
  </si>
  <si>
    <t>Internet_Usage</t>
  </si>
  <si>
    <t>Usage of internet by the business owner</t>
  </si>
  <si>
    <t>Binary: 1 = Yes, 0 = No</t>
  </si>
  <si>
    <t>Related to digital adoption</t>
  </si>
  <si>
    <t>Business_Plan</t>
  </si>
  <si>
    <t>Presence of a business plan</t>
  </si>
  <si>
    <t>Planning capability</t>
  </si>
  <si>
    <t>Level of marketing effort</t>
  </si>
  <si>
    <t>Numeric (Likert scale, e.g., 1‚Äì7)</t>
  </si>
  <si>
    <t>Higher = more intensive marketing</t>
  </si>
  <si>
    <t>Partnership</t>
  </si>
  <si>
    <t>Presence of business partnerships</t>
  </si>
  <si>
    <t>Collaboration/networking factor</t>
  </si>
  <si>
    <t>Parent_Business_Experience</t>
  </si>
  <si>
    <t>Whether parents had business experience</t>
  </si>
  <si>
    <t>Family business background</t>
  </si>
  <si>
    <t>Industry_Experience</t>
  </si>
  <si>
    <t>Owner‚Äôs years of experience in the same industry</t>
  </si>
  <si>
    <t>Numeric (integer, years)</t>
  </si>
  <si>
    <t>Domain expertise</t>
  </si>
  <si>
    <t>Owner_Gender</t>
  </si>
  <si>
    <t>Gender of the business owner</t>
  </si>
  <si>
    <t>Binary: 0 = Female, 1 = Male</t>
  </si>
  <si>
    <t>Demographic segmentation</t>
  </si>
  <si>
    <t>Frequency of consultation with professionals</t>
  </si>
  <si>
    <t>Access to external expertise</t>
  </si>
  <si>
    <t>Success label (target variable)</t>
  </si>
  <si>
    <t>Binary: 1 = Successful, 0 = Not Successful</t>
  </si>
  <si>
    <t>Outcome / dependent variable</t>
  </si>
  <si>
    <t>Description</t>
  </si>
  <si>
    <t>All relevant columns</t>
  </si>
  <si>
    <t>1. What is the overall success rate of UMKM in this dataset?</t>
  </si>
  <si>
    <t>2. Do UMKM with a "Strong" financial score category have a significantly higher success rate?</t>
  </si>
  <si>
    <t>3. Is there a difference in success rate between male-owned and female-owned UMKM?</t>
  </si>
  <si>
    <t>4. How does the level of marketing effort influence UMKM success?</t>
  </si>
  <si>
    <t>5. Does internet usage increase the likelihood of success, particularly for low marketing?</t>
  </si>
  <si>
    <t>6. Are UMKM with adequate initial capital typically owned by younger or more experienced individuals?</t>
  </si>
  <si>
    <t>7. Is there a relationship between the frequency of professional consultation and success rate?</t>
  </si>
  <si>
    <t>8. Recommendation: Which factor(s) have the greatest potential to be improved to increase success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</si>
</sst>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Corbel"/>
      <family val="2"/>
      <scheme val="minor"/>
    </font>
    <font>
      <sz val="8"/>
      <name val="Corbel"/>
      <family val="2"/>
      <scheme val="minor"/>
    </font>
    <font>
      <b/>
      <sz val="12"/>
      <color theme="1"/>
      <name val="Corbel"/>
      <family val="2"/>
      <scheme val="minor"/>
    </font>
    <font>
      <b/>
      <sz val="14"/>
      <color theme="1"/>
      <name val="Corbel"/>
      <family val="2"/>
      <scheme val="minor"/>
    </font>
    <font>
      <sz val="14"/>
      <color theme="1"/>
      <name val="Corbel"/>
      <family val="2"/>
      <scheme val="minor"/>
    </font>
    <font>
      <sz val="16"/>
      <color theme="1"/>
      <name val="Corbel"/>
      <family val="2"/>
      <scheme val="minor"/>
    </font>
    <font>
      <sz val="18"/>
      <color theme="1"/>
      <name val="Corbel"/>
      <family val="2"/>
      <scheme val="minor"/>
    </font>
    <font>
      <sz val="20"/>
      <color theme="1"/>
      <name val="Calibri (Body)"/>
    </font>
    <font>
      <b/>
      <sz val="24"/>
      <color theme="0"/>
      <name val="Corbel"/>
      <family val="2"/>
      <scheme val="minor"/>
    </font>
    <font>
      <b/>
      <sz val="18"/>
      <color theme="1"/>
      <name val="Corbel"/>
      <family val="2"/>
      <scheme val="minor"/>
    </font>
  </fonts>
  <fills count="4">
    <fill>
      <patternFill patternType="none"/>
    </fill>
    <fill>
      <patternFill patternType="gray125"/>
    </fill>
    <fill>
      <patternFill patternType="solid">
        <fgColor rgb="FF4E66C7"/>
        <bgColor indexed="64"/>
      </patternFill>
    </fill>
    <fill>
      <patternFill patternType="solid">
        <fgColor rgb="FF5ECBF2"/>
        <bgColor indexed="64"/>
      </patternFill>
    </fill>
  </fills>
  <borders count="21">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bottom/>
      <diagonal/>
    </border>
    <border>
      <left/>
      <right style="thin">
        <color theme="0" tint="-0.24994659260841701"/>
      </right>
      <top/>
      <bottom/>
      <diagonal/>
    </border>
    <border>
      <left style="thin">
        <color theme="0" tint="-0.24994659260841701"/>
      </left>
      <right/>
      <top/>
      <bottom style="thin">
        <color theme="0" tint="-0.24994659260841701"/>
      </bottom>
      <diagonal/>
    </border>
    <border>
      <left/>
      <right style="thin">
        <color theme="0" tint="-0.24994659260841701"/>
      </right>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right style="thin">
        <color theme="0" tint="-0.24994659260841701"/>
      </right>
      <top style="thin">
        <color theme="0" tint="-0.24994659260841701"/>
      </top>
      <bottom/>
      <diagonal/>
    </border>
    <border>
      <left style="thin">
        <color theme="0" tint="-0.24994659260841701"/>
      </left>
      <right style="thin">
        <color theme="0" tint="-0.24994659260841701"/>
      </right>
      <top/>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top style="thin">
        <color theme="0" tint="-0.24994659260841701"/>
      </top>
      <bottom/>
      <diagonal/>
    </border>
    <border>
      <left/>
      <right/>
      <top style="thin">
        <color theme="0" tint="-0.24994659260841701"/>
      </top>
      <bottom/>
      <diagonal/>
    </border>
    <border>
      <left/>
      <right/>
      <top/>
      <bottom style="thin">
        <color theme="0" tint="-0.24994659260841701"/>
      </bottom>
      <diagonal/>
    </border>
    <border>
      <left style="thin">
        <color theme="0" tint="-0.249977111117893"/>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top/>
      <bottom/>
      <diagonal/>
    </border>
    <border>
      <left/>
      <right style="thin">
        <color theme="0" tint="-0.249977111117893"/>
      </right>
      <top/>
      <bottom/>
      <diagonal/>
    </border>
    <border>
      <left style="thin">
        <color theme="0" tint="-0.249977111117893"/>
      </left>
      <right/>
      <top style="thin">
        <color theme="0" tint="-0.24994659260841701"/>
      </top>
      <bottom style="thin">
        <color theme="0" tint="-0.24994659260841701"/>
      </bottom>
      <diagonal/>
    </border>
    <border>
      <left/>
      <right style="thin">
        <color theme="0" tint="-0.249977111117893"/>
      </right>
      <top style="thin">
        <color theme="0" tint="-0.24994659260841701"/>
      </top>
      <bottom style="thin">
        <color theme="0" tint="-0.24994659260841701"/>
      </bottom>
      <diagonal/>
    </border>
    <border>
      <left style="thin">
        <color theme="0" tint="-0.249977111117893"/>
      </left>
      <right/>
      <top/>
      <bottom style="thin">
        <color theme="0" tint="-0.24994659260841701"/>
      </bottom>
      <diagonal/>
    </border>
    <border>
      <left/>
      <right style="thin">
        <color theme="0" tint="-0.249977111117893"/>
      </right>
      <top/>
      <bottom style="thin">
        <color theme="0" tint="-0.24994659260841701"/>
      </bottom>
      <diagonal/>
    </border>
  </borders>
  <cellStyleXfs count="1">
    <xf numFmtId="0" fontId="0" fillId="0" borderId="0"/>
  </cellStyleXfs>
  <cellXfs count="44">
    <xf numFmtId="0" fontId="0" fillId="0" borderId="0" xfId="0"/>
    <xf numFmtId="0" fontId="2" fillId="0" borderId="0" xfId="0" applyFont="1" applyAlignment="1">
      <alignment vertical="center"/>
    </xf>
    <xf numFmtId="10" fontId="0" fillId="0" borderId="0" xfId="0" applyNumberFormat="1"/>
    <xf numFmtId="0" fontId="0" fillId="0" borderId="0" xfId="0" pivotButton="1"/>
    <xf numFmtId="0" fontId="0" fillId="0" borderId="0" xfId="0" applyAlignment="1">
      <alignment horizontal="left"/>
    </xf>
    <xf numFmtId="2" fontId="0" fillId="0" borderId="0" xfId="0" applyNumberFormat="1"/>
    <xf numFmtId="0" fontId="0" fillId="0" borderId="3" xfId="0" applyBorder="1"/>
    <xf numFmtId="0" fontId="0" fillId="0" borderId="5" xfId="0" applyBorder="1"/>
    <xf numFmtId="0" fontId="0" fillId="0" borderId="8" xfId="0" applyBorder="1" applyAlignment="1">
      <alignment horizontal="center"/>
    </xf>
    <xf numFmtId="0" fontId="0" fillId="0" borderId="9" xfId="0" applyBorder="1" applyAlignment="1">
      <alignment horizontal="center"/>
    </xf>
    <xf numFmtId="0" fontId="0" fillId="0" borderId="1" xfId="0" applyBorder="1" applyAlignment="1">
      <alignment horizontal="center"/>
    </xf>
    <xf numFmtId="0" fontId="0" fillId="0" borderId="6" xfId="0" applyBorder="1"/>
    <xf numFmtId="0" fontId="0" fillId="0" borderId="1" xfId="0" applyBorder="1"/>
    <xf numFmtId="0" fontId="0" fillId="0" borderId="8" xfId="0" applyBorder="1"/>
    <xf numFmtId="0" fontId="0" fillId="0" borderId="9" xfId="0" applyBorder="1"/>
    <xf numFmtId="0" fontId="9" fillId="0" borderId="1" xfId="0" applyFont="1" applyBorder="1" applyAlignment="1">
      <alignment horizontal="left" vertical="center"/>
    </xf>
    <xf numFmtId="0" fontId="6" fillId="0" borderId="1" xfId="0" applyFont="1" applyBorder="1" applyAlignment="1">
      <alignment horizontal="left" vertical="center"/>
    </xf>
    <xf numFmtId="0" fontId="9" fillId="0" borderId="1" xfId="0" applyFont="1" applyBorder="1" applyAlignment="1">
      <alignment horizontal="left" vertical="center"/>
    </xf>
    <xf numFmtId="0" fontId="3" fillId="0" borderId="10" xfId="0" applyFont="1" applyBorder="1" applyAlignment="1">
      <alignment horizontal="left" vertical="center"/>
    </xf>
    <xf numFmtId="0" fontId="4" fillId="0" borderId="11" xfId="0" applyFont="1" applyBorder="1" applyAlignment="1">
      <alignment horizontal="left" vertical="center"/>
    </xf>
    <xf numFmtId="0" fontId="4" fillId="0" borderId="7" xfId="0" applyFont="1" applyBorder="1" applyAlignment="1">
      <alignment horizontal="left" vertical="center"/>
    </xf>
    <xf numFmtId="0" fontId="4" fillId="0" borderId="7" xfId="0" applyFont="1" applyBorder="1"/>
    <xf numFmtId="0" fontId="3" fillId="0" borderId="2" xfId="0" applyFont="1" applyBorder="1" applyAlignment="1">
      <alignment horizontal="left" vertical="center"/>
    </xf>
    <xf numFmtId="0" fontId="4" fillId="0" borderId="0" xfId="0" applyFont="1" applyBorder="1" applyAlignment="1">
      <alignment horizontal="left" vertical="center"/>
    </xf>
    <xf numFmtId="0" fontId="4" fillId="0" borderId="3" xfId="0" applyFont="1" applyBorder="1" applyAlignment="1">
      <alignment horizontal="left" vertical="center"/>
    </xf>
    <xf numFmtId="0" fontId="4" fillId="0" borderId="3" xfId="0" applyFont="1" applyBorder="1"/>
    <xf numFmtId="0" fontId="3" fillId="0" borderId="0" xfId="0" applyFont="1" applyBorder="1" applyAlignment="1">
      <alignment horizontal="left" vertical="center"/>
    </xf>
    <xf numFmtId="0" fontId="3" fillId="0" borderId="3" xfId="0" applyFont="1" applyBorder="1" applyAlignment="1">
      <alignment horizontal="left" vertical="center"/>
    </xf>
    <xf numFmtId="0" fontId="3" fillId="0" borderId="4" xfId="0" applyFont="1" applyBorder="1" applyAlignment="1">
      <alignment horizontal="left" vertical="center"/>
    </xf>
    <xf numFmtId="0" fontId="3" fillId="0" borderId="12" xfId="0" applyFont="1" applyBorder="1" applyAlignment="1">
      <alignment horizontal="left" vertical="center"/>
    </xf>
    <xf numFmtId="0" fontId="3" fillId="0" borderId="5" xfId="0" applyFont="1" applyBorder="1" applyAlignment="1">
      <alignment horizontal="left" vertical="center"/>
    </xf>
    <xf numFmtId="0" fontId="4" fillId="0" borderId="5" xfId="0" applyFont="1" applyBorder="1"/>
    <xf numFmtId="0" fontId="0" fillId="0" borderId="13" xfId="0" applyBorder="1"/>
    <xf numFmtId="0" fontId="0" fillId="0" borderId="14" xfId="0" applyBorder="1"/>
    <xf numFmtId="0" fontId="0" fillId="0" borderId="15" xfId="0" applyBorder="1"/>
    <xf numFmtId="0" fontId="0" fillId="0" borderId="16" xfId="0" applyBorder="1"/>
    <xf numFmtId="0" fontId="7" fillId="0" borderId="17" xfId="0" applyFont="1" applyBorder="1" applyAlignment="1">
      <alignment horizontal="center"/>
    </xf>
    <xf numFmtId="0" fontId="5" fillId="0" borderId="18" xfId="0" applyFont="1" applyBorder="1" applyAlignment="1">
      <alignment horizontal="center"/>
    </xf>
    <xf numFmtId="0" fontId="6" fillId="0" borderId="15" xfId="0" applyFont="1" applyBorder="1" applyAlignment="1">
      <alignment vertical="center"/>
    </xf>
    <xf numFmtId="10" fontId="8" fillId="2" borderId="16" xfId="0" applyNumberFormat="1" applyFont="1" applyFill="1" applyBorder="1" applyAlignment="1">
      <alignment horizontal="center"/>
    </xf>
    <xf numFmtId="0" fontId="6" fillId="0" borderId="19" xfId="0" applyFont="1" applyBorder="1" applyAlignment="1">
      <alignment vertical="center"/>
    </xf>
    <xf numFmtId="10" fontId="8" fillId="3" borderId="20" xfId="0" applyNumberFormat="1" applyFont="1" applyFill="1" applyBorder="1" applyAlignment="1">
      <alignment horizontal="center"/>
    </xf>
    <xf numFmtId="0" fontId="0" fillId="0" borderId="2" xfId="0" applyBorder="1"/>
    <xf numFmtId="0" fontId="0" fillId="0" borderId="4" xfId="0" applyBorder="1"/>
  </cellXfs>
  <cellStyles count="1">
    <cellStyle name="Normal" xfId="0" builtinId="0"/>
  </cellStyles>
  <dxfs count="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5ECBF2"/>
      <color rgb="FF4E66C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[UMKM_Financial_Performance_Analysis.xlsx]PivotTable!PivotTable1</c:name>
    <c:fmtId val="11"/>
  </c:pivotSource>
  <c:chart>
    <c:title>
      <c:tx>
        <c:rich>
          <a:bodyPr rot="0" spcFirstLastPara="1" vertOverflow="ellipsis" vert="horz" wrap="square" anchor="ctr" anchorCtr="1"/>
          <a:lstStyle/>
          <a:p>
            <a:pPr>
              <a:defRPr sz="1200" b="1" i="0" u="none" strike="noStrike" kern="1200" cap="all" spc="120" normalizeH="0" baseline="0">
                <a:ln>
                  <a:noFill/>
                </a:ln>
                <a:solidFill>
                  <a:sysClr val="windowText" lastClr="000000">
                    <a:lumMod val="65000"/>
                    <a:lumOff val="35000"/>
                  </a:sysClr>
                </a:solidFill>
                <a:latin typeface="+mn-lt"/>
                <a:ea typeface="+mn-ea"/>
                <a:cs typeface="+mn-cs"/>
              </a:defRPr>
            </a:pPr>
            <a:r>
              <a:rPr lang="en-US" sz="1200">
                <a:ln>
                  <a:noFill/>
                </a:ln>
                <a:solidFill>
                  <a:sysClr val="windowText" lastClr="000000">
                    <a:lumMod val="65000"/>
                    <a:lumOff val="35000"/>
                  </a:sysClr>
                </a:solidFill>
              </a:rPr>
              <a:t>Success Rate By Financial Score Category</a:t>
            </a:r>
          </a:p>
        </c:rich>
      </c:tx>
      <c:overlay val="0"/>
      <c:spPr>
        <a:noFill/>
        <a:ln>
          <a:noFill/>
        </a:ln>
        <a:effectLst/>
      </c:spPr>
      <c:txPr>
        <a:bodyPr rot="0" spcFirstLastPara="1" vertOverflow="ellipsis" vert="horz" wrap="square" anchor="ctr" anchorCtr="1"/>
        <a:lstStyle/>
        <a:p>
          <a:pPr>
            <a:defRPr sz="1200" b="1" i="0" u="none" strike="noStrike" kern="1200" cap="all" spc="120" normalizeH="0" baseline="0">
              <a:ln>
                <a:noFill/>
              </a:ln>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PivotTable!$C$11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PivotTable!$B$12:$B$15</c:f>
              <c:strCache>
                <c:ptCount val="3"/>
                <c:pt idx="0">
                  <c:v>Strong</c:v>
                </c:pt>
                <c:pt idx="1">
                  <c:v>Moderate</c:v>
                </c:pt>
                <c:pt idx="2">
                  <c:v>Weak</c:v>
                </c:pt>
              </c:strCache>
            </c:strRef>
          </c:cat>
          <c:val>
            <c:numRef>
              <c:f>PivotTable!$C$12:$C$15</c:f>
              <c:numCache>
                <c:formatCode>0.00%</c:formatCode>
                <c:ptCount val="3"/>
                <c:pt idx="0">
                  <c:v>0.24399999999999999</c:v>
                </c:pt>
                <c:pt idx="1">
                  <c:v>0.51600000000000001</c:v>
                </c:pt>
                <c:pt idx="2">
                  <c:v>0.24</c:v>
                </c:pt>
              </c:numCache>
            </c:numRef>
          </c:val>
          <c:extLst>
            <c:ext xmlns:c16="http://schemas.microsoft.com/office/drawing/2014/chart" uri="{C3380CC4-5D6E-409C-BE32-E72D297353CC}">
              <c16:uniqueId val="{00000000-3C59-0D42-8C38-76C09F8B69CD}"/>
            </c:ext>
          </c:extLst>
        </c:ser>
        <c:dLbls>
          <c:dLblPos val="ctr"/>
          <c:showLegendKey val="0"/>
          <c:showVal val="1"/>
          <c:showCatName val="0"/>
          <c:showSerName val="0"/>
          <c:showPercent val="0"/>
          <c:showBubbleSize val="0"/>
        </c:dLbls>
        <c:gapWidth val="79"/>
        <c:overlap val="100"/>
        <c:axId val="1946952031"/>
        <c:axId val="1753734511"/>
      </c:barChart>
      <c:catAx>
        <c:axId val="19469520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sz="800"/>
                  <a:t>Financial</a:t>
                </a:r>
                <a:r>
                  <a:rPr lang="en-US" sz="800" baseline="0"/>
                  <a:t> Score Category</a:t>
                </a:r>
                <a:endParaRPr lang="en-US" sz="800"/>
              </a:p>
            </c:rich>
          </c:tx>
          <c:layout>
            <c:manualLayout>
              <c:xMode val="edge"/>
              <c:yMode val="edge"/>
              <c:x val="9.852216748768473E-3"/>
              <c:y val="0.27030674846625774"/>
            </c:manualLayout>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cap="all" spc="120" normalizeH="0" baseline="0">
                <a:solidFill>
                  <a:schemeClr val="tx1">
                    <a:lumMod val="65000"/>
                    <a:lumOff val="35000"/>
                  </a:schemeClr>
                </a:solidFill>
                <a:latin typeface="+mn-lt"/>
                <a:ea typeface="+mn-ea"/>
                <a:cs typeface="+mn-cs"/>
              </a:defRPr>
            </a:pPr>
            <a:endParaRPr lang="en-US"/>
          </a:p>
        </c:txPr>
        <c:crossAx val="1753734511"/>
        <c:crosses val="autoZero"/>
        <c:auto val="1"/>
        <c:lblAlgn val="ctr"/>
        <c:lblOffset val="100"/>
        <c:noMultiLvlLbl val="0"/>
      </c:catAx>
      <c:valAx>
        <c:axId val="1753734511"/>
        <c:scaling>
          <c:orientation val="minMax"/>
        </c:scaling>
        <c:delete val="1"/>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Success Rate</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crossAx val="1946952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[UMKM_Financial_Performance_Analysis.xlsx]PivotTable!PivotTable2</c:name>
    <c:fmtId val="12"/>
  </c:pivotSource>
  <c:chart>
    <c:title>
      <c:tx>
        <c:rich>
          <a:bodyPr rot="0" spcFirstLastPara="1" vertOverflow="ellipsis" vert="horz" wrap="square" anchor="ctr" anchorCtr="1"/>
          <a:lstStyle/>
          <a:p>
            <a:pPr>
              <a:defRPr sz="1200" b="1" i="0" u="none" strike="noStrike" kern="1200" cap="all" spc="50" baseline="0">
                <a:solidFill>
                  <a:schemeClr val="tx1">
                    <a:lumMod val="65000"/>
                    <a:lumOff val="35000"/>
                  </a:schemeClr>
                </a:solidFill>
                <a:latin typeface="+mn-lt"/>
                <a:ea typeface="+mn-ea"/>
                <a:cs typeface="+mn-cs"/>
              </a:defRPr>
            </a:pPr>
            <a:r>
              <a:rPr lang="en-ID" sz="1200"/>
              <a:t>Success Rate by Owner Gender</a:t>
            </a:r>
          </a:p>
          <a:p>
            <a:pPr>
              <a:defRPr sz="1200"/>
            </a:pPr>
            <a:endParaRPr lang="en-US" sz="1200"/>
          </a:p>
        </c:rich>
      </c:tx>
      <c:overlay val="0"/>
      <c:spPr>
        <a:noFill/>
        <a:ln>
          <a:noFill/>
        </a:ln>
        <a:effectLst/>
      </c:spPr>
      <c:txPr>
        <a:bodyPr rot="0" spcFirstLastPara="1" vertOverflow="ellipsis" vert="horz" wrap="square" anchor="ctr" anchorCtr="1"/>
        <a:lstStyle/>
        <a:p>
          <a:pPr>
            <a:defRPr sz="12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PivotTable!$C$19</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AA35-2B43-91B0-AB51A414281A}"/>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AA35-2B43-91B0-AB51A414281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PivotTable!$B$20:$B$22</c:f>
              <c:strCache>
                <c:ptCount val="2"/>
                <c:pt idx="0">
                  <c:v>Female</c:v>
                </c:pt>
                <c:pt idx="1">
                  <c:v>Male</c:v>
                </c:pt>
              </c:strCache>
            </c:strRef>
          </c:cat>
          <c:val>
            <c:numRef>
              <c:f>PivotTable!$C$20:$C$22</c:f>
              <c:numCache>
                <c:formatCode>0.00%</c:formatCode>
                <c:ptCount val="2"/>
                <c:pt idx="0">
                  <c:v>0.436</c:v>
                </c:pt>
                <c:pt idx="1">
                  <c:v>0.56399999999999995</c:v>
                </c:pt>
              </c:numCache>
            </c:numRef>
          </c:val>
          <c:extLst>
            <c:ext xmlns:c16="http://schemas.microsoft.com/office/drawing/2014/chart" uri="{C3380CC4-5D6E-409C-BE32-E72D297353CC}">
              <c16:uniqueId val="{00000004-AA35-2B43-91B0-AB51A414281A}"/>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[UMKM_Financial_Performance_Analysis.xlsx]PivotTable!PivotTable3</c:name>
    <c:fmtId val="18"/>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200" b="0" i="0" u="none" strike="noStrike" kern="1200" spc="0" baseline="0">
                <a:solidFill>
                  <a:sysClr val="windowText" lastClr="000000">
                    <a:lumMod val="65000"/>
                    <a:lumOff val="35000"/>
                  </a:sysClr>
                </a:solidFill>
                <a:latin typeface="+mn-lt"/>
                <a:ea typeface="+mn-ea"/>
                <a:cs typeface="+mn-cs"/>
              </a:defRPr>
            </a:pPr>
            <a:r>
              <a:rPr lang="en-ID" sz="1200" b="1">
                <a:effectLst/>
              </a:rPr>
              <a:t>Success Rate by Marketing Effort Category</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2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PivotTable!$C$26</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76F4-4A4E-ADD1-B9862EABEFE1}"/>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3-76F4-4A4E-ADD1-B9862EABEFE1}"/>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5-76F4-4A4E-ADD1-B9862EABEFE1}"/>
              </c:ext>
            </c:extLst>
          </c:dPt>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6F4-4A4E-ADD1-B9862EABEFE1}"/>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6F4-4A4E-ADD1-B9862EABEFE1}"/>
                </c:ext>
              </c:extLst>
            </c:dLbl>
            <c:dLbl>
              <c:idx val="2"/>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6F4-4A4E-ADD1-B9862EABEFE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PivotTable!$B$27:$B$30</c:f>
              <c:strCache>
                <c:ptCount val="3"/>
                <c:pt idx="0">
                  <c:v>High</c:v>
                </c:pt>
                <c:pt idx="1">
                  <c:v>Medium</c:v>
                </c:pt>
                <c:pt idx="2">
                  <c:v>Low</c:v>
                </c:pt>
              </c:strCache>
            </c:strRef>
          </c:cat>
          <c:val>
            <c:numRef>
              <c:f>PivotTable!$C$27:$C$30</c:f>
              <c:numCache>
                <c:formatCode>0.00%</c:formatCode>
                <c:ptCount val="3"/>
                <c:pt idx="0">
                  <c:v>0.42399999999999999</c:v>
                </c:pt>
                <c:pt idx="1">
                  <c:v>0.28399999999999997</c:v>
                </c:pt>
                <c:pt idx="2">
                  <c:v>0.29199999999999998</c:v>
                </c:pt>
              </c:numCache>
            </c:numRef>
          </c:val>
          <c:extLst>
            <c:ext xmlns:c16="http://schemas.microsoft.com/office/drawing/2014/chart" uri="{C3380CC4-5D6E-409C-BE32-E72D297353CC}">
              <c16:uniqueId val="{00000006-76F4-4A4E-ADD1-B9862EABEFE1}"/>
            </c:ext>
          </c:extLst>
        </c:ser>
        <c:dLbls>
          <c:showLegendKey val="0"/>
          <c:showVal val="0"/>
          <c:showCatName val="0"/>
          <c:showSerName val="0"/>
          <c:showPercent val="0"/>
          <c:showBubbleSize val="0"/>
        </c:dLbls>
        <c:gapWidth val="219"/>
        <c:axId val="1642754431"/>
        <c:axId val="1653680015"/>
      </c:barChart>
      <c:catAx>
        <c:axId val="16427544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Marketing</a:t>
                </a:r>
                <a:r>
                  <a:rPr lang="en-US" baseline="0"/>
                  <a:t> Score Category</a:t>
                </a:r>
                <a:endParaRPr lang="en-US"/>
              </a:p>
            </c:rich>
          </c:tx>
          <c:layout>
            <c:manualLayout>
              <c:xMode val="edge"/>
              <c:yMode val="edge"/>
              <c:x val="0.41459623797025369"/>
              <c:y val="0.8535169059749884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53680015"/>
        <c:crosses val="autoZero"/>
        <c:auto val="1"/>
        <c:lblAlgn val="ctr"/>
        <c:lblOffset val="100"/>
        <c:noMultiLvlLbl val="0"/>
      </c:catAx>
      <c:valAx>
        <c:axId val="1653680015"/>
        <c:scaling>
          <c:orientation val="minMax"/>
          <c:max val="0.5"/>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Success Rate</a:t>
                </a:r>
              </a:p>
            </c:rich>
          </c:tx>
          <c:layout>
            <c:manualLayout>
              <c:xMode val="edge"/>
              <c:yMode val="edge"/>
              <c:x val="1.1111111111111112E-2"/>
              <c:y val="0.3981058617672790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2754431"/>
        <c:crosses val="autoZero"/>
        <c:crossBetween val="between"/>
        <c:majorUnit val="0.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[UMKM_Financial_Performance_Analysis.xlsx]PivotTable!PivotTable5</c:name>
    <c:fmtId val="22"/>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ID" sz="1200" b="1">
                <a:effectLst/>
              </a:rPr>
              <a:t>Success Rate by Marketing Category &amp; Internet Usage</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PivotTable!$F$4:$F$5</c:f>
              <c:strCache>
                <c:ptCount val="1"/>
                <c:pt idx="0">
                  <c:v>No</c:v>
                </c:pt>
              </c:strCache>
            </c:strRef>
          </c:tx>
          <c:spPr>
            <a:solidFill>
              <a:schemeClr val="accent1"/>
            </a:solidFill>
            <a:ln>
              <a:noFill/>
            </a:ln>
            <a:effectLst/>
          </c:spPr>
          <c:invertIfNegative val="0"/>
          <c:cat>
            <c:strRef>
              <c:f>PivotTable!$E$6:$E$9</c:f>
              <c:strCache>
                <c:ptCount val="3"/>
                <c:pt idx="0">
                  <c:v>High</c:v>
                </c:pt>
                <c:pt idx="1">
                  <c:v>Medium</c:v>
                </c:pt>
                <c:pt idx="2">
                  <c:v>Low</c:v>
                </c:pt>
              </c:strCache>
            </c:strRef>
          </c:cat>
          <c:val>
            <c:numRef>
              <c:f>PivotTable!$F$6:$F$9</c:f>
              <c:numCache>
                <c:formatCode>0.00%</c:formatCode>
                <c:ptCount val="3"/>
                <c:pt idx="0">
                  <c:v>0.45714285714285713</c:v>
                </c:pt>
                <c:pt idx="1">
                  <c:v>0.27857142857142858</c:v>
                </c:pt>
                <c:pt idx="2">
                  <c:v>0.26428571428571429</c:v>
                </c:pt>
              </c:numCache>
            </c:numRef>
          </c:val>
          <c:extLst>
            <c:ext xmlns:c16="http://schemas.microsoft.com/office/drawing/2014/chart" uri="{C3380CC4-5D6E-409C-BE32-E72D297353CC}">
              <c16:uniqueId val="{00000000-116A-854B-B474-EBD285BF583C}"/>
            </c:ext>
          </c:extLst>
        </c:ser>
        <c:ser>
          <c:idx val="1"/>
          <c:order val="1"/>
          <c:tx>
            <c:strRef>
              <c:f>PivotTable!$G$4:$G$5</c:f>
              <c:strCache>
                <c:ptCount val="1"/>
                <c:pt idx="0">
                  <c:v>Yes</c:v>
                </c:pt>
              </c:strCache>
            </c:strRef>
          </c:tx>
          <c:spPr>
            <a:solidFill>
              <a:schemeClr val="accent2"/>
            </a:solidFill>
            <a:ln>
              <a:noFill/>
            </a:ln>
            <a:effectLst/>
          </c:spPr>
          <c:invertIfNegative val="0"/>
          <c:cat>
            <c:strRef>
              <c:f>PivotTable!$E$6:$E$9</c:f>
              <c:strCache>
                <c:ptCount val="3"/>
                <c:pt idx="0">
                  <c:v>High</c:v>
                </c:pt>
                <c:pt idx="1">
                  <c:v>Medium</c:v>
                </c:pt>
                <c:pt idx="2">
                  <c:v>Low</c:v>
                </c:pt>
              </c:strCache>
            </c:strRef>
          </c:cat>
          <c:val>
            <c:numRef>
              <c:f>PivotTable!$G$6:$G$9</c:f>
              <c:numCache>
                <c:formatCode>0.00%</c:formatCode>
                <c:ptCount val="3"/>
                <c:pt idx="0">
                  <c:v>0.38181818181818183</c:v>
                </c:pt>
                <c:pt idx="1">
                  <c:v>0.29090909090909089</c:v>
                </c:pt>
                <c:pt idx="2">
                  <c:v>0.32727272727272727</c:v>
                </c:pt>
              </c:numCache>
            </c:numRef>
          </c:val>
          <c:extLst>
            <c:ext xmlns:c16="http://schemas.microsoft.com/office/drawing/2014/chart" uri="{C3380CC4-5D6E-409C-BE32-E72D297353CC}">
              <c16:uniqueId val="{00000007-116A-854B-B474-EBD285BF583C}"/>
            </c:ext>
          </c:extLst>
        </c:ser>
        <c:dLbls>
          <c:showLegendKey val="0"/>
          <c:showVal val="0"/>
          <c:showCatName val="0"/>
          <c:showSerName val="0"/>
          <c:showPercent val="0"/>
          <c:showBubbleSize val="0"/>
        </c:dLbls>
        <c:gapWidth val="219"/>
        <c:overlap val="-27"/>
        <c:axId val="1766599551"/>
        <c:axId val="1766606751"/>
      </c:barChart>
      <c:catAx>
        <c:axId val="17665995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Marketing Score 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66606751"/>
        <c:crosses val="autoZero"/>
        <c:auto val="1"/>
        <c:lblAlgn val="ctr"/>
        <c:lblOffset val="100"/>
        <c:noMultiLvlLbl val="0"/>
      </c:catAx>
      <c:valAx>
        <c:axId val="17666067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Success Rate</a:t>
                </a:r>
              </a:p>
            </c:rich>
          </c:tx>
          <c:layout>
            <c:manualLayout>
              <c:xMode val="edge"/>
              <c:yMode val="edge"/>
              <c:x val="1.6666666666666666E-2"/>
              <c:y val="0.3033043398644936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6599551"/>
        <c:crosses val="autoZero"/>
        <c:crossBetween val="between"/>
        <c:majorUnit val="0.1"/>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[UMKM_Financial_Performance_Analysis.xlsx]PivotTable!PivotTable6</c:name>
    <c:fmtId val="30"/>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ID" sz="1200">
                <a:effectLst/>
              </a:rPr>
              <a:t>Age &amp; Industry Experience by Initial Capital Adequacy</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533398441473884"/>
          <c:y val="0.16041666666666668"/>
          <c:w val="0.57160491566461158"/>
          <c:h val="0.61185186395269053"/>
        </c:manualLayout>
      </c:layout>
      <c:barChart>
        <c:barDir val="col"/>
        <c:grouping val="clustered"/>
        <c:varyColors val="0"/>
        <c:ser>
          <c:idx val="0"/>
          <c:order val="0"/>
          <c:tx>
            <c:strRef>
              <c:f>PivotTable!$F$13</c:f>
              <c:strCache>
                <c:ptCount val="1"/>
                <c:pt idx="0">
                  <c:v>Avg of Age</c:v>
                </c:pt>
              </c:strCache>
            </c:strRef>
          </c:tx>
          <c:spPr>
            <a:solidFill>
              <a:schemeClr val="accent1"/>
            </a:solidFill>
            <a:ln>
              <a:noFill/>
            </a:ln>
            <a:effectLst/>
          </c:spPr>
          <c:invertIfNegative val="0"/>
          <c:cat>
            <c:strRef>
              <c:f>PivotTable!$E$14:$E$16</c:f>
              <c:strCache>
                <c:ptCount val="2"/>
                <c:pt idx="0">
                  <c:v>Sufficient</c:v>
                </c:pt>
                <c:pt idx="1">
                  <c:v>Insufficient</c:v>
                </c:pt>
              </c:strCache>
            </c:strRef>
          </c:cat>
          <c:val>
            <c:numRef>
              <c:f>PivotTable!$F$14:$F$16</c:f>
              <c:numCache>
                <c:formatCode>0.00</c:formatCode>
                <c:ptCount val="2"/>
                <c:pt idx="0">
                  <c:v>40.775193798449614</c:v>
                </c:pt>
                <c:pt idx="1">
                  <c:v>38.67768595041322</c:v>
                </c:pt>
              </c:numCache>
            </c:numRef>
          </c:val>
          <c:extLst>
            <c:ext xmlns:c16="http://schemas.microsoft.com/office/drawing/2014/chart" uri="{C3380CC4-5D6E-409C-BE32-E72D297353CC}">
              <c16:uniqueId val="{00000000-C0CF-3A4E-8484-D666873AB8A2}"/>
            </c:ext>
          </c:extLst>
        </c:ser>
        <c:ser>
          <c:idx val="1"/>
          <c:order val="1"/>
          <c:tx>
            <c:strRef>
              <c:f>PivotTable!$G$13</c:f>
              <c:strCache>
                <c:ptCount val="1"/>
                <c:pt idx="0">
                  <c:v>Avg of industry Experience</c:v>
                </c:pt>
              </c:strCache>
            </c:strRef>
          </c:tx>
          <c:spPr>
            <a:solidFill>
              <a:schemeClr val="accent2"/>
            </a:solidFill>
            <a:ln>
              <a:noFill/>
            </a:ln>
            <a:effectLst/>
          </c:spPr>
          <c:invertIfNegative val="0"/>
          <c:cat>
            <c:strRef>
              <c:f>PivotTable!$E$14:$E$16</c:f>
              <c:strCache>
                <c:ptCount val="2"/>
                <c:pt idx="0">
                  <c:v>Sufficient</c:v>
                </c:pt>
                <c:pt idx="1">
                  <c:v>Insufficient</c:v>
                </c:pt>
              </c:strCache>
            </c:strRef>
          </c:cat>
          <c:val>
            <c:numRef>
              <c:f>PivotTable!$G$14:$G$16</c:f>
              <c:numCache>
                <c:formatCode>0.00</c:formatCode>
                <c:ptCount val="2"/>
                <c:pt idx="0">
                  <c:v>9.9302325581395348</c:v>
                </c:pt>
                <c:pt idx="1">
                  <c:v>9.5785123966942152</c:v>
                </c:pt>
              </c:numCache>
            </c:numRef>
          </c:val>
          <c:extLst>
            <c:ext xmlns:c16="http://schemas.microsoft.com/office/drawing/2014/chart" uri="{C3380CC4-5D6E-409C-BE32-E72D297353CC}">
              <c16:uniqueId val="{00000001-C0CF-3A4E-8484-D666873AB8A2}"/>
            </c:ext>
          </c:extLst>
        </c:ser>
        <c:dLbls>
          <c:showLegendKey val="0"/>
          <c:showVal val="0"/>
          <c:showCatName val="0"/>
          <c:showSerName val="0"/>
          <c:showPercent val="0"/>
          <c:showBubbleSize val="0"/>
        </c:dLbls>
        <c:gapWidth val="219"/>
        <c:axId val="1861823375"/>
        <c:axId val="1732365599"/>
      </c:barChart>
      <c:catAx>
        <c:axId val="18618233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Initial Capital</a:t>
                </a:r>
                <a:r>
                  <a:rPr lang="en-US" baseline="0"/>
                  <a:t> Label</a:t>
                </a:r>
                <a:endParaRPr lang="en-US"/>
              </a:p>
            </c:rich>
          </c:tx>
          <c:layout>
            <c:manualLayout>
              <c:xMode val="edge"/>
              <c:yMode val="edge"/>
              <c:x val="0.34368674845876823"/>
              <c:y val="0.880974940373117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32365599"/>
        <c:crosses val="autoZero"/>
        <c:auto val="1"/>
        <c:lblAlgn val="ctr"/>
        <c:lblOffset val="100"/>
        <c:noMultiLvlLbl val="0"/>
      </c:catAx>
      <c:valAx>
        <c:axId val="1732365599"/>
        <c:scaling>
          <c:orientation val="minMax"/>
          <c:max val="5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p>
            </c:rich>
          </c:tx>
          <c:layout>
            <c:manualLayout>
              <c:xMode val="edge"/>
              <c:yMode val="edge"/>
              <c:x val="2.4405786485991572E-2"/>
              <c:y val="0.4259587676021824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823375"/>
        <c:crosses val="autoZero"/>
        <c:crossBetween val="between"/>
        <c:majorUnit val="10"/>
      </c:valAx>
      <c:spPr>
        <a:noFill/>
        <a:ln>
          <a:noFill/>
        </a:ln>
        <a:effectLst/>
      </c:spPr>
    </c:plotArea>
    <c:legend>
      <c:legendPos val="r"/>
      <c:layout>
        <c:manualLayout>
          <c:xMode val="edge"/>
          <c:yMode val="edge"/>
          <c:x val="0.71193875765529313"/>
          <c:y val="0.400809638378536"/>
          <c:w val="0.27139457567804026"/>
          <c:h val="0.2662047973170019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[UMKM_Financial_Performance_Analysis.xlsx]PivotTable!PivotTable7</c:name>
    <c:fmtId val="3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359573650854619"/>
          <c:y val="4.6413502109704644E-2"/>
          <c:w val="0.51417322834645673"/>
          <c:h val="0.76623077178643806"/>
        </c:manualLayout>
      </c:layout>
      <c:barChart>
        <c:barDir val="col"/>
        <c:grouping val="clustered"/>
        <c:varyColors val="0"/>
        <c:ser>
          <c:idx val="0"/>
          <c:order val="0"/>
          <c:tx>
            <c:strRef>
              <c:f>PivotTable!$F$20</c:f>
              <c:strCache>
                <c:ptCount val="1"/>
                <c:pt idx="0">
                  <c:v>Count of Success Label</c:v>
                </c:pt>
              </c:strCache>
            </c:strRef>
          </c:tx>
          <c:spPr>
            <a:solidFill>
              <a:schemeClr val="accent1"/>
            </a:solidFill>
            <a:ln>
              <a:noFill/>
            </a:ln>
            <a:effectLst/>
          </c:spPr>
          <c:invertIfNegative val="0"/>
          <c:cat>
            <c:strRef>
              <c:f>PivotTable!$E$21:$E$28</c:f>
              <c:strCache>
                <c:ptCount val="7"/>
                <c:pt idx="0">
                  <c:v>1</c:v>
                </c:pt>
                <c:pt idx="1">
                  <c:v>2</c:v>
                </c:pt>
                <c:pt idx="2">
                  <c:v>3</c:v>
                </c:pt>
                <c:pt idx="3">
                  <c:v>4</c:v>
                </c:pt>
                <c:pt idx="4">
                  <c:v>5</c:v>
                </c:pt>
                <c:pt idx="5">
                  <c:v>6</c:v>
                </c:pt>
                <c:pt idx="6">
                  <c:v>7</c:v>
                </c:pt>
              </c:strCache>
            </c:strRef>
          </c:cat>
          <c:val>
            <c:numRef>
              <c:f>PivotTable!$F$21:$F$28</c:f>
              <c:numCache>
                <c:formatCode>0.00%</c:formatCode>
                <c:ptCount val="7"/>
                <c:pt idx="0">
                  <c:v>0.13600000000000001</c:v>
                </c:pt>
                <c:pt idx="1">
                  <c:v>0.152</c:v>
                </c:pt>
                <c:pt idx="2">
                  <c:v>0.13200000000000001</c:v>
                </c:pt>
                <c:pt idx="3">
                  <c:v>9.6000000000000002E-2</c:v>
                </c:pt>
                <c:pt idx="4">
                  <c:v>0.17199999999999999</c:v>
                </c:pt>
                <c:pt idx="5">
                  <c:v>0.124</c:v>
                </c:pt>
                <c:pt idx="6">
                  <c:v>0.188</c:v>
                </c:pt>
              </c:numCache>
            </c:numRef>
          </c:val>
          <c:extLst>
            <c:ext xmlns:c16="http://schemas.microsoft.com/office/drawing/2014/chart" uri="{C3380CC4-5D6E-409C-BE32-E72D297353CC}">
              <c16:uniqueId val="{00000000-70DA-7F47-B829-CE017D136C6F}"/>
            </c:ext>
          </c:extLst>
        </c:ser>
        <c:dLbls>
          <c:showLegendKey val="0"/>
          <c:showVal val="0"/>
          <c:showCatName val="0"/>
          <c:showSerName val="0"/>
          <c:showPercent val="0"/>
          <c:showBubbleSize val="0"/>
        </c:dLbls>
        <c:gapWidth val="219"/>
        <c:axId val="1394325647"/>
        <c:axId val="1355890495"/>
      </c:barChart>
      <c:lineChart>
        <c:grouping val="standard"/>
        <c:varyColors val="0"/>
        <c:ser>
          <c:idx val="1"/>
          <c:order val="1"/>
          <c:tx>
            <c:strRef>
              <c:f>PivotTable!$G$20</c:f>
              <c:strCache>
                <c:ptCount val="1"/>
                <c:pt idx="0">
                  <c:v>Avg of Financial Score</c:v>
                </c:pt>
              </c:strCache>
            </c:strRef>
          </c:tx>
          <c:spPr>
            <a:ln w="28575" cap="rnd">
              <a:solidFill>
                <a:schemeClr val="accent2"/>
              </a:solidFill>
              <a:round/>
            </a:ln>
            <a:effectLst/>
          </c:spPr>
          <c:marker>
            <c:symbol val="none"/>
          </c:marker>
          <c:cat>
            <c:strRef>
              <c:f>PivotTable!$E$21:$E$28</c:f>
              <c:strCache>
                <c:ptCount val="7"/>
                <c:pt idx="0">
                  <c:v>1</c:v>
                </c:pt>
                <c:pt idx="1">
                  <c:v>2</c:v>
                </c:pt>
                <c:pt idx="2">
                  <c:v>3</c:v>
                </c:pt>
                <c:pt idx="3">
                  <c:v>4</c:v>
                </c:pt>
                <c:pt idx="4">
                  <c:v>5</c:v>
                </c:pt>
                <c:pt idx="5">
                  <c:v>6</c:v>
                </c:pt>
                <c:pt idx="6">
                  <c:v>7</c:v>
                </c:pt>
              </c:strCache>
            </c:strRef>
          </c:cat>
          <c:val>
            <c:numRef>
              <c:f>PivotTable!$G$21:$G$28</c:f>
              <c:numCache>
                <c:formatCode>0.00</c:formatCode>
                <c:ptCount val="7"/>
                <c:pt idx="0">
                  <c:v>1</c:v>
                </c:pt>
                <c:pt idx="1">
                  <c:v>1.131578947368421</c:v>
                </c:pt>
                <c:pt idx="2">
                  <c:v>1.1212121212121211</c:v>
                </c:pt>
                <c:pt idx="3">
                  <c:v>1.125</c:v>
                </c:pt>
                <c:pt idx="4">
                  <c:v>0.95348837209302328</c:v>
                </c:pt>
                <c:pt idx="5">
                  <c:v>0.80645161290322576</c:v>
                </c:pt>
                <c:pt idx="6">
                  <c:v>0.93617021276595747</c:v>
                </c:pt>
              </c:numCache>
            </c:numRef>
          </c:val>
          <c:smooth val="0"/>
          <c:extLst>
            <c:ext xmlns:c16="http://schemas.microsoft.com/office/drawing/2014/chart" uri="{C3380CC4-5D6E-409C-BE32-E72D297353CC}">
              <c16:uniqueId val="{00000001-70DA-7F47-B829-CE017D136C6F}"/>
            </c:ext>
          </c:extLst>
        </c:ser>
        <c:dLbls>
          <c:showLegendKey val="0"/>
          <c:showVal val="0"/>
          <c:showCatName val="0"/>
          <c:showSerName val="0"/>
          <c:showPercent val="0"/>
          <c:showBubbleSize val="0"/>
        </c:dLbls>
        <c:marker val="1"/>
        <c:smooth val="0"/>
        <c:axId val="1526254047"/>
        <c:axId val="1525997679"/>
      </c:lineChart>
      <c:catAx>
        <c:axId val="13943256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Professional</a:t>
                </a:r>
                <a:r>
                  <a:rPr lang="en-US" baseline="0"/>
                  <a:t> Advice Frequency</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5890495"/>
        <c:crosses val="autoZero"/>
        <c:auto val="1"/>
        <c:lblAlgn val="ctr"/>
        <c:lblOffset val="100"/>
        <c:noMultiLvlLbl val="0"/>
      </c:catAx>
      <c:valAx>
        <c:axId val="1355890495"/>
        <c:scaling>
          <c:orientation val="minMax"/>
          <c:max val="0.75"/>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Success Rate</a:t>
                </a:r>
              </a:p>
            </c:rich>
          </c:tx>
          <c:layout>
            <c:manualLayout>
              <c:xMode val="edge"/>
              <c:yMode val="edge"/>
              <c:x val="1.4634146341463415E-2"/>
              <c:y val="0.315794544669258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4325647"/>
        <c:crosses val="autoZero"/>
        <c:crossBetween val="between"/>
        <c:majorUnit val="0.1"/>
      </c:valAx>
      <c:valAx>
        <c:axId val="1525997679"/>
        <c:scaling>
          <c:orientation val="minMax"/>
          <c:max val="1.75"/>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Financial Score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6254047"/>
        <c:crosses val="max"/>
        <c:crossBetween val="between"/>
        <c:majorUnit val="0.5"/>
      </c:valAx>
      <c:catAx>
        <c:axId val="1526254047"/>
        <c:scaling>
          <c:orientation val="minMax"/>
        </c:scaling>
        <c:delete val="1"/>
        <c:axPos val="b"/>
        <c:numFmt formatCode="General" sourceLinked="1"/>
        <c:majorTickMark val="out"/>
        <c:minorTickMark val="none"/>
        <c:tickLblPos val="nextTo"/>
        <c:crossAx val="1525997679"/>
        <c:crosses val="autoZero"/>
        <c:auto val="1"/>
        <c:lblAlgn val="ctr"/>
        <c:lblOffset val="100"/>
        <c:noMultiLvlLbl val="0"/>
      </c:catAx>
      <c:spPr>
        <a:noFill/>
        <a:ln>
          <a:noFill/>
        </a:ln>
        <a:effectLst/>
      </c:spPr>
    </c:plotArea>
    <c:legend>
      <c:legendPos val="r"/>
      <c:layout>
        <c:manualLayout>
          <c:xMode val="edge"/>
          <c:yMode val="edge"/>
          <c:x val="0.80370623719767731"/>
          <c:y val="0.22109623797025371"/>
          <c:w val="0.17434261570962165"/>
          <c:h val="0.48790551181102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18577</xdr:colOff>
      <xdr:row>0</xdr:row>
      <xdr:rowOff>190501</xdr:rowOff>
    </xdr:from>
    <xdr:to>
      <xdr:col>3</xdr:col>
      <xdr:colOff>25400</xdr:colOff>
      <xdr:row>5</xdr:row>
      <xdr:rowOff>196755</xdr:rowOff>
    </xdr:to>
    <xdr:sp macro="" textlink="">
      <xdr:nvSpPr>
        <xdr:cNvPr id="2" name="Rectangle 1">
          <a:extLst>
            <a:ext uri="{FF2B5EF4-FFF2-40B4-BE49-F238E27FC236}">
              <a16:creationId xmlns:a16="http://schemas.microsoft.com/office/drawing/2014/main" id="{74BDF91D-3821-57D4-527F-9C77F1454A65}"/>
            </a:ext>
          </a:extLst>
        </xdr:cNvPr>
        <xdr:cNvSpPr/>
      </xdr:nvSpPr>
      <xdr:spPr>
        <a:xfrm>
          <a:off x="856777" y="190501"/>
          <a:ext cx="10903423" cy="102225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3200" b="1">
              <a:effectLst/>
            </a:rPr>
            <a:t>UMKM Financial Performance &amp; Success Factors Analysis</a:t>
          </a:r>
        </a:p>
      </xdr:txBody>
    </xdr:sp>
    <xdr:clientData/>
  </xdr:twoCellAnchor>
  <xdr:twoCellAnchor>
    <xdr:from>
      <xdr:col>1</xdr:col>
      <xdr:colOff>246418</xdr:colOff>
      <xdr:row>17</xdr:row>
      <xdr:rowOff>12700</xdr:rowOff>
    </xdr:from>
    <xdr:to>
      <xdr:col>1</xdr:col>
      <xdr:colOff>5334000</xdr:colOff>
      <xdr:row>28</xdr:row>
      <xdr:rowOff>63500</xdr:rowOff>
    </xdr:to>
    <xdr:graphicFrame macro="">
      <xdr:nvGraphicFramePr>
        <xdr:cNvPr id="3" name="Chart 2">
          <a:extLst>
            <a:ext uri="{FF2B5EF4-FFF2-40B4-BE49-F238E27FC236}">
              <a16:creationId xmlns:a16="http://schemas.microsoft.com/office/drawing/2014/main" id="{84B4F06C-8290-4C46-816B-D8849CE4B3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5562600</xdr:colOff>
      <xdr:row>17</xdr:row>
      <xdr:rowOff>12700</xdr:rowOff>
    </xdr:from>
    <xdr:to>
      <xdr:col>2</xdr:col>
      <xdr:colOff>1118359</xdr:colOff>
      <xdr:row>28</xdr:row>
      <xdr:rowOff>63500</xdr:rowOff>
    </xdr:to>
    <xdr:graphicFrame macro="">
      <xdr:nvGraphicFramePr>
        <xdr:cNvPr id="4" name="Chart 3">
          <a:extLst>
            <a:ext uri="{FF2B5EF4-FFF2-40B4-BE49-F238E27FC236}">
              <a16:creationId xmlns:a16="http://schemas.microsoft.com/office/drawing/2014/main" id="{3A77A7DE-E028-3E44-9E2B-4E23E5BE4B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265372</xdr:colOff>
      <xdr:row>29</xdr:row>
      <xdr:rowOff>152400</xdr:rowOff>
    </xdr:from>
    <xdr:to>
      <xdr:col>1</xdr:col>
      <xdr:colOff>5359399</xdr:colOff>
      <xdr:row>41</xdr:row>
      <xdr:rowOff>0</xdr:rowOff>
    </xdr:to>
    <xdr:graphicFrame macro="">
      <xdr:nvGraphicFramePr>
        <xdr:cNvPr id="5" name="Chart 4">
          <a:extLst>
            <a:ext uri="{FF2B5EF4-FFF2-40B4-BE49-F238E27FC236}">
              <a16:creationId xmlns:a16="http://schemas.microsoft.com/office/drawing/2014/main" id="{C63DB7FD-FF21-F74F-8A95-A8BB255A6A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5562600</xdr:colOff>
      <xdr:row>29</xdr:row>
      <xdr:rowOff>152400</xdr:rowOff>
    </xdr:from>
    <xdr:to>
      <xdr:col>2</xdr:col>
      <xdr:colOff>1118359</xdr:colOff>
      <xdr:row>41</xdr:row>
      <xdr:rowOff>0</xdr:rowOff>
    </xdr:to>
    <xdr:graphicFrame macro="">
      <xdr:nvGraphicFramePr>
        <xdr:cNvPr id="6" name="Chart 5">
          <a:extLst>
            <a:ext uri="{FF2B5EF4-FFF2-40B4-BE49-F238E27FC236}">
              <a16:creationId xmlns:a16="http://schemas.microsoft.com/office/drawing/2014/main" id="{308250DC-B70F-AD44-9265-BC0F83445A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5562600</xdr:colOff>
      <xdr:row>42</xdr:row>
      <xdr:rowOff>76200</xdr:rowOff>
    </xdr:from>
    <xdr:to>
      <xdr:col>2</xdr:col>
      <xdr:colOff>1118359</xdr:colOff>
      <xdr:row>53</xdr:row>
      <xdr:rowOff>127000</xdr:rowOff>
    </xdr:to>
    <xdr:graphicFrame macro="">
      <xdr:nvGraphicFramePr>
        <xdr:cNvPr id="7" name="Chart 6">
          <a:extLst>
            <a:ext uri="{FF2B5EF4-FFF2-40B4-BE49-F238E27FC236}">
              <a16:creationId xmlns:a16="http://schemas.microsoft.com/office/drawing/2014/main" id="{BB35B469-5020-D14C-A27F-3CC0BA51E5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265372</xdr:colOff>
      <xdr:row>42</xdr:row>
      <xdr:rowOff>63500</xdr:rowOff>
    </xdr:from>
    <xdr:to>
      <xdr:col>1</xdr:col>
      <xdr:colOff>5346699</xdr:colOff>
      <xdr:row>53</xdr:row>
      <xdr:rowOff>114300</xdr:rowOff>
    </xdr:to>
    <xdr:graphicFrame macro="">
      <xdr:nvGraphicFramePr>
        <xdr:cNvPr id="8" name="Chart 7">
          <a:extLst>
            <a:ext uri="{FF2B5EF4-FFF2-40B4-BE49-F238E27FC236}">
              <a16:creationId xmlns:a16="http://schemas.microsoft.com/office/drawing/2014/main" id="{38332213-C17F-CD46-8FFE-CFC2686DE1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227462</xdr:colOff>
      <xdr:row>9</xdr:row>
      <xdr:rowOff>190500</xdr:rowOff>
    </xdr:from>
    <xdr:to>
      <xdr:col>1</xdr:col>
      <xdr:colOff>2552699</xdr:colOff>
      <xdr:row>15</xdr:row>
      <xdr:rowOff>152400</xdr:rowOff>
    </xdr:to>
    <mc:AlternateContent xmlns:mc="http://schemas.openxmlformats.org/markup-compatibility/2006">
      <mc:Choice xmlns:a14="http://schemas.microsoft.com/office/drawing/2010/main" Requires="a14">
        <xdr:graphicFrame macro="">
          <xdr:nvGraphicFramePr>
            <xdr:cNvPr id="9" name="Marketing Score Category">
              <a:extLst>
                <a:ext uri="{FF2B5EF4-FFF2-40B4-BE49-F238E27FC236}">
                  <a16:creationId xmlns:a16="http://schemas.microsoft.com/office/drawing/2014/main" id="{B027015E-FC8C-C7C1-44C0-B3CBF310BEAC}"/>
                </a:ext>
              </a:extLst>
            </xdr:cNvPr>
            <xdr:cNvGraphicFramePr/>
          </xdr:nvGraphicFramePr>
          <xdr:xfrm>
            <a:off x="0" y="0"/>
            <a:ext cx="0" cy="0"/>
          </xdr:xfrm>
          <a:graphic>
            <a:graphicData uri="http://schemas.microsoft.com/office/drawing/2010/slicer">
              <sle:slicer xmlns:sle="http://schemas.microsoft.com/office/drawing/2010/slicer" name="Marketing Score Category"/>
            </a:graphicData>
          </a:graphic>
        </xdr:graphicFrame>
      </mc:Choice>
      <mc:Fallback>
        <xdr:sp macro="" textlink="">
          <xdr:nvSpPr>
            <xdr:cNvPr id="0" name=""/>
            <xdr:cNvSpPr>
              <a:spLocks noTextEdit="1"/>
            </xdr:cNvSpPr>
          </xdr:nvSpPr>
          <xdr:spPr>
            <a:xfrm>
              <a:off x="1062033" y="2621643"/>
              <a:ext cx="2325237" cy="11593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2781300</xdr:colOff>
      <xdr:row>10</xdr:row>
      <xdr:rowOff>0</xdr:rowOff>
    </xdr:from>
    <xdr:to>
      <xdr:col>1</xdr:col>
      <xdr:colOff>5334000</xdr:colOff>
      <xdr:row>15</xdr:row>
      <xdr:rowOff>165100</xdr:rowOff>
    </xdr:to>
    <mc:AlternateContent xmlns:mc="http://schemas.openxmlformats.org/markup-compatibility/2006">
      <mc:Choice xmlns:a14="http://schemas.microsoft.com/office/drawing/2010/main" Requires="a14">
        <xdr:graphicFrame macro="">
          <xdr:nvGraphicFramePr>
            <xdr:cNvPr id="11" name="Financial Score Category">
              <a:extLst>
                <a:ext uri="{FF2B5EF4-FFF2-40B4-BE49-F238E27FC236}">
                  <a16:creationId xmlns:a16="http://schemas.microsoft.com/office/drawing/2014/main" id="{E492886B-A828-AB11-F9B5-A28E8443036C}"/>
                </a:ext>
              </a:extLst>
            </xdr:cNvPr>
            <xdr:cNvGraphicFramePr/>
          </xdr:nvGraphicFramePr>
          <xdr:xfrm>
            <a:off x="0" y="0"/>
            <a:ext cx="0" cy="0"/>
          </xdr:xfrm>
          <a:graphic>
            <a:graphicData uri="http://schemas.microsoft.com/office/drawing/2010/slicer">
              <sle:slicer xmlns:sle="http://schemas.microsoft.com/office/drawing/2010/slicer" name="Financial Score Category"/>
            </a:graphicData>
          </a:graphic>
        </xdr:graphicFrame>
      </mc:Choice>
      <mc:Fallback>
        <xdr:sp macro="" textlink="">
          <xdr:nvSpPr>
            <xdr:cNvPr id="0" name=""/>
            <xdr:cNvSpPr>
              <a:spLocks noTextEdit="1"/>
            </xdr:cNvSpPr>
          </xdr:nvSpPr>
          <xdr:spPr>
            <a:xfrm>
              <a:off x="3615871" y="2630714"/>
              <a:ext cx="2552700" cy="11629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5549900</xdr:colOff>
      <xdr:row>10</xdr:row>
      <xdr:rowOff>12700</xdr:rowOff>
    </xdr:from>
    <xdr:to>
      <xdr:col>1</xdr:col>
      <xdr:colOff>8102600</xdr:colOff>
      <xdr:row>15</xdr:row>
      <xdr:rowOff>177800</xdr:rowOff>
    </xdr:to>
    <mc:AlternateContent xmlns:mc="http://schemas.openxmlformats.org/markup-compatibility/2006">
      <mc:Choice xmlns:a14="http://schemas.microsoft.com/office/drawing/2010/main" Requires="a14">
        <xdr:graphicFrame macro="">
          <xdr:nvGraphicFramePr>
            <xdr:cNvPr id="12" name="Owner Gender Label">
              <a:extLst>
                <a:ext uri="{FF2B5EF4-FFF2-40B4-BE49-F238E27FC236}">
                  <a16:creationId xmlns:a16="http://schemas.microsoft.com/office/drawing/2014/main" id="{5DF3371F-BA68-5C57-DF52-A6C62098C61C}"/>
                </a:ext>
              </a:extLst>
            </xdr:cNvPr>
            <xdr:cNvGraphicFramePr/>
          </xdr:nvGraphicFramePr>
          <xdr:xfrm>
            <a:off x="0" y="0"/>
            <a:ext cx="0" cy="0"/>
          </xdr:xfrm>
          <a:graphic>
            <a:graphicData uri="http://schemas.microsoft.com/office/drawing/2010/slicer">
              <sle:slicer xmlns:sle="http://schemas.microsoft.com/office/drawing/2010/slicer" name="Owner Gender Label"/>
            </a:graphicData>
          </a:graphic>
        </xdr:graphicFrame>
      </mc:Choice>
      <mc:Fallback>
        <xdr:sp macro="" textlink="">
          <xdr:nvSpPr>
            <xdr:cNvPr id="0" name=""/>
            <xdr:cNvSpPr>
              <a:spLocks noTextEdit="1"/>
            </xdr:cNvSpPr>
          </xdr:nvSpPr>
          <xdr:spPr>
            <a:xfrm>
              <a:off x="6384471" y="2643414"/>
              <a:ext cx="2552700" cy="11629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8331200</xdr:colOff>
      <xdr:row>10</xdr:row>
      <xdr:rowOff>12700</xdr:rowOff>
    </xdr:from>
    <xdr:to>
      <xdr:col>2</xdr:col>
      <xdr:colOff>1118359</xdr:colOff>
      <xdr:row>15</xdr:row>
      <xdr:rowOff>177800</xdr:rowOff>
    </xdr:to>
    <mc:AlternateContent xmlns:mc="http://schemas.openxmlformats.org/markup-compatibility/2006">
      <mc:Choice xmlns:a14="http://schemas.microsoft.com/office/drawing/2010/main" Requires="a14">
        <xdr:graphicFrame macro="">
          <xdr:nvGraphicFramePr>
            <xdr:cNvPr id="13" name="Internet Usage Label">
              <a:extLst>
                <a:ext uri="{FF2B5EF4-FFF2-40B4-BE49-F238E27FC236}">
                  <a16:creationId xmlns:a16="http://schemas.microsoft.com/office/drawing/2014/main" id="{F9EC59B7-676A-8C71-FC41-8D9BFF6866FD}"/>
                </a:ext>
              </a:extLst>
            </xdr:cNvPr>
            <xdr:cNvGraphicFramePr/>
          </xdr:nvGraphicFramePr>
          <xdr:xfrm>
            <a:off x="0" y="0"/>
            <a:ext cx="0" cy="0"/>
          </xdr:xfrm>
          <a:graphic>
            <a:graphicData uri="http://schemas.microsoft.com/office/drawing/2010/slicer">
              <sle:slicer xmlns:sle="http://schemas.microsoft.com/office/drawing/2010/slicer" name="Internet Usage Label"/>
            </a:graphicData>
          </a:graphic>
        </xdr:graphicFrame>
      </mc:Choice>
      <mc:Fallback>
        <xdr:sp macro="" textlink="">
          <xdr:nvSpPr>
            <xdr:cNvPr id="0" name=""/>
            <xdr:cNvSpPr>
              <a:spLocks noTextEdit="1"/>
            </xdr:cNvSpPr>
          </xdr:nvSpPr>
          <xdr:spPr>
            <a:xfrm>
              <a:off x="9165771" y="2643414"/>
              <a:ext cx="2312159" cy="11629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xdr:col>
      <xdr:colOff>33867</xdr:colOff>
      <xdr:row>55</xdr:row>
      <xdr:rowOff>126999</xdr:rowOff>
    </xdr:from>
    <xdr:ext cx="10871199" cy="4819839"/>
    <xdr:sp macro="" textlink="">
      <xdr:nvSpPr>
        <xdr:cNvPr id="14" name="TextBox 13">
          <a:extLst>
            <a:ext uri="{FF2B5EF4-FFF2-40B4-BE49-F238E27FC236}">
              <a16:creationId xmlns:a16="http://schemas.microsoft.com/office/drawing/2014/main" id="{B8CE7888-CCEE-C7B2-35B3-DF76C135022C}"/>
            </a:ext>
          </a:extLst>
        </xdr:cNvPr>
        <xdr:cNvSpPr txBox="1"/>
      </xdr:nvSpPr>
      <xdr:spPr>
        <a:xfrm>
          <a:off x="872067" y="11937999"/>
          <a:ext cx="10871199" cy="48198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600" b="0"/>
            <a:t>Key Recommendations to Improve UMKM Success Rate</a:t>
          </a:r>
        </a:p>
        <a:p>
          <a:endParaRPr lang="en-US" sz="1200"/>
        </a:p>
        <a:p>
          <a:r>
            <a:rPr lang="en-US" sz="1200"/>
            <a:t>Based on Analysis of 251 Indonesian UMKM Profiles</a:t>
          </a:r>
        </a:p>
        <a:p>
          <a:endParaRPr lang="en-US" sz="1200"/>
        </a:p>
        <a:p>
          <a:r>
            <a:rPr lang="en-US" sz="1200"/>
            <a:t>1. Prioritize Financial Management Improvements</a:t>
          </a:r>
        </a:p>
        <a:p>
          <a:r>
            <a:rPr lang="en-US" sz="1200"/>
            <a:t>   - UMKM with "Strong" Financial Score Category show a success rate of 24.40%, while "Weak" only reach 24.00% (minimal gap visible in this dataset).</a:t>
          </a:r>
        </a:p>
        <a:p>
          <a:r>
            <a:rPr lang="en-US" sz="1200"/>
            <a:t>   - However, "Moderate" category performs best at 53.60% success rate.</a:t>
          </a:r>
        </a:p>
        <a:p>
          <a:r>
            <a:rPr lang="en-US" sz="1200"/>
            <a:t>   - Recommendation: Focus training on financial record-keeping and initial capital access to shift more UMKM from "Weak" to "Moderate/Strong".</a:t>
          </a:r>
        </a:p>
        <a:p>
          <a:endParaRPr lang="en-US" sz="1200"/>
        </a:p>
        <a:p>
          <a:r>
            <a:rPr lang="en-US" sz="1200"/>
            <a:t>2. Strengthen Marketing Effort &amp; Digital Adoption</a:t>
          </a:r>
        </a:p>
        <a:p>
          <a:r>
            <a:rPr lang="en-US" sz="1200"/>
            <a:t>   - UMKM with "High" Marketing Effort Category achieve the highest success rate at 42.40%, compared to 28.40% (Medium) and 29.20% (Low).</a:t>
          </a:r>
        </a:p>
        <a:p>
          <a:r>
            <a:rPr lang="en-US" sz="1200"/>
            <a:t>   - Internet usage provides an additional boost, especially noticeable in the "Low" marketing category (success rate higher with Internet "Yes").</a:t>
          </a:r>
        </a:p>
        <a:p>
          <a:r>
            <a:rPr lang="en-US" sz="1200"/>
            <a:t>   - Recommendation: Promote affordable digital marketing training and internet access programs, particularly for low-marketing UMKM.</a:t>
          </a:r>
        </a:p>
        <a:p>
          <a:endParaRPr lang="en-US" sz="1200"/>
        </a:p>
        <a:p>
          <a:r>
            <a:rPr lang="en-US" sz="1200"/>
            <a:t>3. Encourage Professional Consultation</a:t>
          </a:r>
        </a:p>
        <a:p>
          <a:r>
            <a:rPr lang="en-US" sz="1200"/>
            <a:t>   - Higher Professional Advice frequency (scores 5–7) shows fluctuating but generally positive correlation with success rate (around 10–20%) and financial score.</a:t>
          </a:r>
        </a:p>
        <a:p>
          <a:r>
            <a:rPr lang="en-US" sz="1200"/>
            <a:t>   - Recommendation: Facilitate regular access to mentors, consultants, or business incubators to increase consultation frequency.</a:t>
          </a:r>
        </a:p>
        <a:p>
          <a:endParaRPr lang="en-US" sz="1200"/>
        </a:p>
        <a:p>
          <a:r>
            <a:rPr lang="en-US" sz="1200"/>
            <a:t>Overall Insight:</a:t>
          </a:r>
        </a:p>
        <a:p>
          <a:r>
            <a:rPr lang="en-US" sz="1200"/>
            <a:t>The data highlights marketing effort as the strongest visible driver of success in this sample (High category almost 50% higher than Low/Medium). Financial discipline and professional advice also play supporting roles. Targeted interventions in digital marketing and financial literacy could yield the most significant improvement in UMKM success rates.</a:t>
          </a:r>
        </a:p>
        <a:p>
          <a:endParaRPr lang="en-US" sz="1200"/>
        </a:p>
        <a:p>
          <a:r>
            <a:rPr lang="en-ID" sz="1100" b="0" i="0">
              <a:solidFill>
                <a:schemeClr val="tx1"/>
              </a:solidFill>
              <a:effectLst/>
              <a:latin typeface="+mn-lt"/>
              <a:ea typeface="+mn-ea"/>
              <a:cs typeface="+mn-cs"/>
            </a:rPr>
            <a:t>👨‍💻 Created by: </a:t>
          </a:r>
          <a:r>
            <a:rPr lang="en-ID" sz="1100" b="1" i="0">
              <a:solidFill>
                <a:schemeClr val="tx1"/>
              </a:solidFill>
              <a:effectLst/>
              <a:latin typeface="+mn-lt"/>
              <a:ea typeface="+mn-ea"/>
              <a:cs typeface="+mn-cs"/>
            </a:rPr>
            <a:t>David Sebastian Aritonang</a:t>
          </a:r>
          <a:br>
            <a:rPr lang="en-ID" sz="1200"/>
          </a:br>
          <a:r>
            <a:rPr lang="en-ID" sz="1100" b="0" i="0">
              <a:solidFill>
                <a:schemeClr val="tx1"/>
              </a:solidFill>
              <a:effectLst/>
              <a:latin typeface="+mn-lt"/>
              <a:ea typeface="+mn-ea"/>
              <a:cs typeface="+mn-cs"/>
            </a:rPr>
            <a:t>📧 Email: </a:t>
          </a:r>
          <a:r>
            <a:rPr lang="en-ID" sz="1100" b="0" i="0" u="sng">
              <a:solidFill>
                <a:schemeClr val="tx1"/>
              </a:solidFill>
              <a:effectLst/>
              <a:latin typeface="+mn-lt"/>
              <a:ea typeface="+mn-ea"/>
              <a:cs typeface="+mn-cs"/>
              <a:hlinkClick xmlns:r="http://schemas.openxmlformats.org/officeDocument/2006/relationships" r:id=""/>
            </a:rPr>
            <a:t>davidsebastianartt@gmail.com</a:t>
          </a:r>
          <a:br>
            <a:rPr lang="en-ID" sz="1200"/>
          </a:br>
          <a:r>
            <a:rPr lang="en-ID" sz="1100" b="0" i="0">
              <a:solidFill>
                <a:schemeClr val="tx1"/>
              </a:solidFill>
              <a:effectLst/>
              <a:latin typeface="+mn-lt"/>
              <a:ea typeface="+mn-ea"/>
              <a:cs typeface="+mn-cs"/>
            </a:rPr>
            <a:t>🔗 LinkedIn: </a:t>
          </a:r>
          <a:r>
            <a:rPr lang="en-ID" sz="1100" b="0" i="0" u="sng">
              <a:solidFill>
                <a:schemeClr val="tx1"/>
              </a:solidFill>
              <a:effectLst/>
              <a:latin typeface="+mn-lt"/>
              <a:ea typeface="+mn-ea"/>
              <a:cs typeface="+mn-cs"/>
              <a:hlinkClick xmlns:r="http://schemas.openxmlformats.org/officeDocument/2006/relationships" r:id=""/>
            </a:rPr>
            <a:t>linkedin.com/in/david-sartt</a:t>
          </a:r>
          <a:endParaRPr lang="en-US" sz="120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0</xdr:row>
      <xdr:rowOff>177800</xdr:rowOff>
    </xdr:from>
    <xdr:ext cx="13131800" cy="2400300"/>
    <xdr:sp macro="" textlink="">
      <xdr:nvSpPr>
        <xdr:cNvPr id="2" name="TextBox 1">
          <a:extLst>
            <a:ext uri="{FF2B5EF4-FFF2-40B4-BE49-F238E27FC236}">
              <a16:creationId xmlns:a16="http://schemas.microsoft.com/office/drawing/2014/main" id="{C1F0EB67-BB55-6C81-F223-8B3B23B7538D}"/>
            </a:ext>
          </a:extLst>
        </xdr:cNvPr>
        <xdr:cNvSpPr txBox="1"/>
      </xdr:nvSpPr>
      <xdr:spPr>
        <a:xfrm>
          <a:off x="825500" y="177800"/>
          <a:ext cx="13131800" cy="2400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D" sz="1200" b="1"/>
            <a:t>Dataset Description</a:t>
          </a:r>
        </a:p>
        <a:p>
          <a:r>
            <a:rPr lang="en-ID" sz="1200" b="1">
              <a:effectLst/>
            </a:rPr>
            <a:t>Dataset Name:</a:t>
          </a:r>
          <a:r>
            <a:rPr lang="en-ID" sz="1200">
              <a:effectLst/>
            </a:rPr>
            <a:t> UMKM Success Prediction Dataset </a:t>
          </a:r>
        </a:p>
        <a:p>
          <a:r>
            <a:rPr lang="en-ID" sz="1200" b="1">
              <a:effectLst/>
            </a:rPr>
            <a:t>Source:</a:t>
          </a:r>
          <a:r>
            <a:rPr lang="en-ID" sz="1200">
              <a:effectLst/>
            </a:rPr>
            <a:t> Adapted from Kaggle (original source: </a:t>
          </a:r>
          <a:r>
            <a:rPr lang="en-ID" sz="1200">
              <a:effectLst/>
              <a:hlinkClick xmlns:r="http://schemas.openxmlformats.org/officeDocument/2006/relationships" r:id=""/>
            </a:rPr>
            <a:t>https://www.kaggle.com/datasets/eskobar/msme-dataset</a:t>
          </a:r>
          <a:r>
            <a:rPr lang="en-ID" sz="1200">
              <a:effectLst/>
            </a:rPr>
            <a:t>) </a:t>
          </a:r>
        </a:p>
        <a:p>
          <a:r>
            <a:rPr lang="en-ID" sz="1200" b="1">
              <a:effectLst/>
            </a:rPr>
            <a:t>Number of Records:</a:t>
          </a:r>
          <a:r>
            <a:rPr lang="en-ID" sz="1200">
              <a:effectLst/>
            </a:rPr>
            <a:t> 251 rows (after cleaning) </a:t>
          </a:r>
        </a:p>
        <a:p>
          <a:r>
            <a:rPr lang="en-ID" sz="1200" b="1">
              <a:effectLst/>
            </a:rPr>
            <a:t>Number of Columns:</a:t>
          </a:r>
          <a:r>
            <a:rPr lang="en-ID" sz="1200">
              <a:effectLst/>
            </a:rPr>
            <a:t> 13 </a:t>
          </a:r>
        </a:p>
        <a:p>
          <a:endParaRPr lang="en-ID" sz="1200">
            <a:effectLst/>
          </a:endParaRPr>
        </a:p>
        <a:p>
          <a:r>
            <a:rPr lang="en-ID" sz="1200" b="1">
              <a:effectLst/>
            </a:rPr>
            <a:t>Description:</a:t>
          </a:r>
          <a:r>
            <a:rPr lang="en-ID" sz="1200">
              <a:effectLst/>
            </a:rPr>
            <a:t> This dataset contains profile information of 251 micro, small, and medium enterprises (UMKM/MSMEs) in Indonesia. It includes demographic, financial, operational, and experiential characteristics of the business owners, along with a binary success label indicating whether the business is classified as successful or not.</a:t>
          </a:r>
        </a:p>
        <a:p>
          <a:r>
            <a:rPr lang="en-ID" sz="1200">
              <a:effectLst/>
            </a:rPr>
            <a:t>The dataset is used to analyze key factors influencing UMKM success, particularly focusing on financial aspects (initial capital and record-keeping), marketing efforts, digital adoption, and professional consultation.</a:t>
          </a:r>
        </a:p>
        <a:p>
          <a:endParaRPr lang="en-ID" sz="1200" b="1"/>
        </a:p>
        <a:p>
          <a:r>
            <a:rPr lang="en-ID" sz="1200" b="1"/>
            <a:t>Attributes / Variables</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vid_sartt" refreshedDate="46065.804057638888" createdVersion="8" refreshedVersion="8" minRefreshableVersion="3" recordCount="250" xr:uid="{644769F2-3DD3-234A-88A0-0F0BE0C84436}">
  <cacheSource type="worksheet">
    <worksheetSource name="umkm_success_prediction_with_success"/>
  </cacheSource>
  <cacheFields count="16">
    <cacheField name="Age" numFmtId="0">
      <sharedItems containsSemiMixedTypes="0" containsString="0" containsNumber="1" containsInteger="1" minValue="18" maxValue="60" count="43">
        <n v="60"/>
        <n v="51"/>
        <n v="21"/>
        <n v="20"/>
        <n v="35"/>
        <n v="19"/>
        <n v="46"/>
        <n v="29"/>
        <n v="31"/>
        <n v="42"/>
        <n v="27"/>
        <n v="18"/>
        <n v="53"/>
        <n v="56"/>
        <n v="25"/>
        <n v="57"/>
        <n v="43"/>
        <n v="26"/>
        <n v="23"/>
        <n v="30"/>
        <n v="55"/>
        <n v="28"/>
        <n v="59"/>
        <n v="49"/>
        <n v="32"/>
        <n v="33"/>
        <n v="58"/>
        <n v="36"/>
        <n v="37"/>
        <n v="47"/>
        <n v="50"/>
        <n v="22"/>
        <n v="34"/>
        <n v="48"/>
        <n v="44"/>
        <n v="24"/>
        <n v="45"/>
        <n v="41"/>
        <n v="39"/>
        <n v="38"/>
        <n v="54"/>
        <n v="40"/>
        <n v="52"/>
      </sharedItems>
    </cacheField>
    <cacheField name="Education" numFmtId="0">
      <sharedItems containsSemiMixedTypes="0" containsString="0" containsNumber="1" containsInteger="1" minValue="1" maxValue="5"/>
    </cacheField>
    <cacheField name="Marketing_Effort" numFmtId="0">
      <sharedItems containsSemiMixedTypes="0" containsString="0" containsNumber="1" containsInteger="1" minValue="1" maxValue="7"/>
    </cacheField>
    <cacheField name="industry_Experience" numFmtId="0">
      <sharedItems containsSemiMixedTypes="0" containsString="0" containsNumber="1" containsInteger="1" minValue="0" maxValue="20"/>
    </cacheField>
    <cacheField name="Professional_Advice" numFmtId="0">
      <sharedItems containsSemiMixedTypes="0" containsString="0" containsNumber="1" containsInteger="1" minValue="1" maxValue="7" count="7">
        <n v="3"/>
        <n v="7"/>
        <n v="2"/>
        <n v="1"/>
        <n v="6"/>
        <n v="5"/>
        <n v="4"/>
      </sharedItems>
    </cacheField>
    <cacheField name="Initial_Capital_Label" numFmtId="0">
      <sharedItems count="2">
        <s v="Insufficient"/>
        <s v="Sufficient"/>
      </sharedItems>
    </cacheField>
    <cacheField name="Financial_Record_Keeping_Label" numFmtId="0">
      <sharedItems/>
    </cacheField>
    <cacheField name="Success_Label" numFmtId="0">
      <sharedItems count="2">
        <s v="Not Successful"/>
        <s v="Successful"/>
      </sharedItems>
    </cacheField>
    <cacheField name="Owner_Gender_Label" numFmtId="0">
      <sharedItems count="2">
        <s v="Male"/>
        <s v="Female"/>
      </sharedItems>
    </cacheField>
    <cacheField name="Internet_Usage_Label" numFmtId="0">
      <sharedItems count="2">
        <s v="No"/>
        <s v="Yes"/>
      </sharedItems>
    </cacheField>
    <cacheField name="Business_Plan_Label" numFmtId="0">
      <sharedItems/>
    </cacheField>
    <cacheField name="Partnership_Label" numFmtId="0">
      <sharedItems/>
    </cacheField>
    <cacheField name="Parent_Business_Experience_Label" numFmtId="0">
      <sharedItems/>
    </cacheField>
    <cacheField name="Financial_Score" numFmtId="0">
      <sharedItems containsSemiMixedTypes="0" containsString="0" containsNumber="1" containsInteger="1" minValue="0" maxValue="2"/>
    </cacheField>
    <cacheField name="Financial_Score_Category" numFmtId="0">
      <sharedItems count="3">
        <s v="Weak"/>
        <s v="Strong"/>
        <s v="Moderate"/>
      </sharedItems>
    </cacheField>
    <cacheField name="Marketing_Score_Category" numFmtId="0">
      <sharedItems count="3">
        <s v="High"/>
        <s v="Medium"/>
        <s v="Low"/>
      </sharedItems>
    </cacheField>
  </cacheFields>
  <extLst>
    <ext xmlns:x14="http://schemas.microsoft.com/office/spreadsheetml/2009/9/main" uri="{725AE2AE-9491-48be-B2B4-4EB974FC3084}">
      <x14:pivotCacheDefinition pivotCacheId="3343821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x v="0"/>
    <n v="3"/>
    <n v="5"/>
    <n v="5"/>
    <x v="0"/>
    <x v="0"/>
    <s v="Poor"/>
    <x v="0"/>
    <x v="0"/>
    <x v="0"/>
    <s v="No"/>
    <s v="Yes"/>
    <s v="Yes"/>
    <n v="0"/>
    <x v="0"/>
    <x v="0"/>
  </r>
  <r>
    <x v="1"/>
    <n v="4"/>
    <n v="7"/>
    <n v="4"/>
    <x v="1"/>
    <x v="1"/>
    <s v="Good"/>
    <x v="0"/>
    <x v="0"/>
    <x v="0"/>
    <s v="No"/>
    <s v="Yes"/>
    <s v="Yes"/>
    <n v="2"/>
    <x v="1"/>
    <x v="0"/>
  </r>
  <r>
    <x v="2"/>
    <n v="1"/>
    <n v="7"/>
    <n v="19"/>
    <x v="2"/>
    <x v="0"/>
    <s v="Good"/>
    <x v="0"/>
    <x v="0"/>
    <x v="1"/>
    <s v="No"/>
    <s v="No"/>
    <s v="No"/>
    <n v="1"/>
    <x v="2"/>
    <x v="0"/>
  </r>
  <r>
    <x v="3"/>
    <n v="1"/>
    <n v="5"/>
    <n v="1"/>
    <x v="2"/>
    <x v="0"/>
    <s v="Good"/>
    <x v="0"/>
    <x v="0"/>
    <x v="1"/>
    <s v="Yes"/>
    <s v="Yes"/>
    <s v="No"/>
    <n v="1"/>
    <x v="2"/>
    <x v="0"/>
  </r>
  <r>
    <x v="4"/>
    <n v="1"/>
    <n v="3"/>
    <n v="3"/>
    <x v="3"/>
    <x v="1"/>
    <s v="Good"/>
    <x v="0"/>
    <x v="1"/>
    <x v="0"/>
    <s v="Yes"/>
    <s v="No"/>
    <s v="Yes"/>
    <n v="2"/>
    <x v="1"/>
    <x v="1"/>
  </r>
  <r>
    <x v="5"/>
    <n v="1"/>
    <n v="7"/>
    <n v="4"/>
    <x v="1"/>
    <x v="1"/>
    <s v="Good"/>
    <x v="1"/>
    <x v="1"/>
    <x v="0"/>
    <s v="Yes"/>
    <s v="No"/>
    <s v="No"/>
    <n v="2"/>
    <x v="1"/>
    <x v="0"/>
  </r>
  <r>
    <x v="6"/>
    <n v="4"/>
    <n v="7"/>
    <n v="5"/>
    <x v="0"/>
    <x v="1"/>
    <s v="Good"/>
    <x v="0"/>
    <x v="1"/>
    <x v="0"/>
    <s v="No"/>
    <s v="Yes"/>
    <s v="Yes"/>
    <n v="2"/>
    <x v="1"/>
    <x v="0"/>
  </r>
  <r>
    <x v="7"/>
    <n v="3"/>
    <n v="6"/>
    <n v="5"/>
    <x v="3"/>
    <x v="1"/>
    <s v="Poor"/>
    <x v="0"/>
    <x v="1"/>
    <x v="0"/>
    <s v="Yes"/>
    <s v="No"/>
    <s v="No"/>
    <n v="1"/>
    <x v="2"/>
    <x v="0"/>
  </r>
  <r>
    <x v="8"/>
    <n v="2"/>
    <n v="4"/>
    <n v="14"/>
    <x v="0"/>
    <x v="0"/>
    <s v="Good"/>
    <x v="0"/>
    <x v="1"/>
    <x v="1"/>
    <s v="No"/>
    <s v="No"/>
    <s v="No"/>
    <n v="1"/>
    <x v="2"/>
    <x v="1"/>
  </r>
  <r>
    <x v="9"/>
    <n v="3"/>
    <n v="7"/>
    <n v="3"/>
    <x v="3"/>
    <x v="1"/>
    <s v="Good"/>
    <x v="0"/>
    <x v="0"/>
    <x v="0"/>
    <s v="Yes"/>
    <s v="Yes"/>
    <s v="No"/>
    <n v="2"/>
    <x v="1"/>
    <x v="0"/>
  </r>
  <r>
    <x v="10"/>
    <n v="2"/>
    <n v="5"/>
    <n v="19"/>
    <x v="1"/>
    <x v="0"/>
    <s v="Poor"/>
    <x v="0"/>
    <x v="0"/>
    <x v="1"/>
    <s v="No"/>
    <s v="No"/>
    <s v="No"/>
    <n v="0"/>
    <x v="0"/>
    <x v="0"/>
  </r>
  <r>
    <x v="11"/>
    <n v="1"/>
    <n v="6"/>
    <n v="9"/>
    <x v="2"/>
    <x v="0"/>
    <s v="Good"/>
    <x v="0"/>
    <x v="0"/>
    <x v="0"/>
    <s v="No"/>
    <s v="No"/>
    <s v="No"/>
    <n v="1"/>
    <x v="2"/>
    <x v="0"/>
  </r>
  <r>
    <x v="0"/>
    <n v="1"/>
    <n v="6"/>
    <n v="11"/>
    <x v="2"/>
    <x v="1"/>
    <s v="Good"/>
    <x v="1"/>
    <x v="0"/>
    <x v="0"/>
    <s v="Yes"/>
    <s v="No"/>
    <s v="No"/>
    <n v="2"/>
    <x v="1"/>
    <x v="0"/>
  </r>
  <r>
    <x v="12"/>
    <n v="2"/>
    <n v="3"/>
    <n v="10"/>
    <x v="4"/>
    <x v="0"/>
    <s v="Poor"/>
    <x v="0"/>
    <x v="0"/>
    <x v="0"/>
    <s v="No"/>
    <s v="Yes"/>
    <s v="Yes"/>
    <n v="0"/>
    <x v="0"/>
    <x v="1"/>
  </r>
  <r>
    <x v="13"/>
    <n v="2"/>
    <n v="1"/>
    <n v="3"/>
    <x v="5"/>
    <x v="1"/>
    <s v="Poor"/>
    <x v="0"/>
    <x v="1"/>
    <x v="0"/>
    <s v="Yes"/>
    <s v="No"/>
    <s v="Yes"/>
    <n v="1"/>
    <x v="2"/>
    <x v="2"/>
  </r>
  <r>
    <x v="14"/>
    <n v="5"/>
    <n v="5"/>
    <n v="3"/>
    <x v="5"/>
    <x v="0"/>
    <s v="Poor"/>
    <x v="0"/>
    <x v="0"/>
    <x v="1"/>
    <s v="Yes"/>
    <s v="Yes"/>
    <s v="Yes"/>
    <n v="0"/>
    <x v="0"/>
    <x v="0"/>
  </r>
  <r>
    <x v="15"/>
    <n v="2"/>
    <n v="1"/>
    <n v="2"/>
    <x v="4"/>
    <x v="0"/>
    <s v="Poor"/>
    <x v="0"/>
    <x v="0"/>
    <x v="1"/>
    <s v="Yes"/>
    <s v="Yes"/>
    <s v="No"/>
    <n v="0"/>
    <x v="0"/>
    <x v="2"/>
  </r>
  <r>
    <x v="4"/>
    <n v="4"/>
    <n v="6"/>
    <n v="16"/>
    <x v="5"/>
    <x v="0"/>
    <s v="Poor"/>
    <x v="0"/>
    <x v="1"/>
    <x v="1"/>
    <s v="No"/>
    <s v="Yes"/>
    <s v="No"/>
    <n v="0"/>
    <x v="0"/>
    <x v="0"/>
  </r>
  <r>
    <x v="7"/>
    <n v="2"/>
    <n v="2"/>
    <n v="10"/>
    <x v="5"/>
    <x v="1"/>
    <s v="Good"/>
    <x v="1"/>
    <x v="1"/>
    <x v="1"/>
    <s v="No"/>
    <s v="Yes"/>
    <s v="Yes"/>
    <n v="2"/>
    <x v="1"/>
    <x v="2"/>
  </r>
  <r>
    <x v="16"/>
    <n v="3"/>
    <n v="2"/>
    <n v="0"/>
    <x v="1"/>
    <x v="0"/>
    <s v="Poor"/>
    <x v="0"/>
    <x v="0"/>
    <x v="1"/>
    <s v="No"/>
    <s v="No"/>
    <s v="Yes"/>
    <n v="0"/>
    <x v="0"/>
    <x v="2"/>
  </r>
  <r>
    <x v="17"/>
    <n v="5"/>
    <n v="2"/>
    <n v="1"/>
    <x v="2"/>
    <x v="1"/>
    <s v="Poor"/>
    <x v="0"/>
    <x v="1"/>
    <x v="0"/>
    <s v="Yes"/>
    <s v="Yes"/>
    <s v="No"/>
    <n v="1"/>
    <x v="2"/>
    <x v="2"/>
  </r>
  <r>
    <x v="8"/>
    <n v="1"/>
    <n v="3"/>
    <n v="12"/>
    <x v="1"/>
    <x v="1"/>
    <s v="Poor"/>
    <x v="0"/>
    <x v="0"/>
    <x v="0"/>
    <s v="Yes"/>
    <s v="No"/>
    <s v="Yes"/>
    <n v="1"/>
    <x v="2"/>
    <x v="1"/>
  </r>
  <r>
    <x v="2"/>
    <n v="1"/>
    <n v="6"/>
    <n v="6"/>
    <x v="6"/>
    <x v="1"/>
    <s v="Good"/>
    <x v="0"/>
    <x v="0"/>
    <x v="0"/>
    <s v="No"/>
    <s v="Yes"/>
    <s v="No"/>
    <n v="2"/>
    <x v="1"/>
    <x v="0"/>
  </r>
  <r>
    <x v="18"/>
    <n v="3"/>
    <n v="3"/>
    <n v="7"/>
    <x v="1"/>
    <x v="1"/>
    <s v="Poor"/>
    <x v="0"/>
    <x v="0"/>
    <x v="0"/>
    <s v="No"/>
    <s v="Yes"/>
    <s v="No"/>
    <n v="1"/>
    <x v="2"/>
    <x v="1"/>
  </r>
  <r>
    <x v="19"/>
    <n v="4"/>
    <n v="2"/>
    <n v="6"/>
    <x v="1"/>
    <x v="0"/>
    <s v="Good"/>
    <x v="0"/>
    <x v="0"/>
    <x v="0"/>
    <s v="No"/>
    <s v="No"/>
    <s v="Yes"/>
    <n v="1"/>
    <x v="2"/>
    <x v="2"/>
  </r>
  <r>
    <x v="20"/>
    <n v="2"/>
    <n v="2"/>
    <n v="20"/>
    <x v="2"/>
    <x v="1"/>
    <s v="Good"/>
    <x v="1"/>
    <x v="0"/>
    <x v="1"/>
    <s v="Yes"/>
    <s v="No"/>
    <s v="No"/>
    <n v="2"/>
    <x v="1"/>
    <x v="2"/>
  </r>
  <r>
    <x v="11"/>
    <n v="3"/>
    <n v="6"/>
    <n v="5"/>
    <x v="1"/>
    <x v="0"/>
    <s v="Good"/>
    <x v="0"/>
    <x v="0"/>
    <x v="0"/>
    <s v="Yes"/>
    <s v="Yes"/>
    <s v="Yes"/>
    <n v="1"/>
    <x v="2"/>
    <x v="0"/>
  </r>
  <r>
    <x v="21"/>
    <n v="2"/>
    <n v="5"/>
    <n v="20"/>
    <x v="1"/>
    <x v="0"/>
    <s v="Good"/>
    <x v="0"/>
    <x v="1"/>
    <x v="0"/>
    <s v="No"/>
    <s v="No"/>
    <s v="No"/>
    <n v="1"/>
    <x v="2"/>
    <x v="0"/>
  </r>
  <r>
    <x v="6"/>
    <n v="1"/>
    <n v="1"/>
    <n v="19"/>
    <x v="4"/>
    <x v="1"/>
    <s v="Poor"/>
    <x v="0"/>
    <x v="0"/>
    <x v="1"/>
    <s v="No"/>
    <s v="Yes"/>
    <s v="No"/>
    <n v="1"/>
    <x v="2"/>
    <x v="2"/>
  </r>
  <r>
    <x v="7"/>
    <n v="4"/>
    <n v="2"/>
    <n v="10"/>
    <x v="2"/>
    <x v="1"/>
    <s v="Good"/>
    <x v="1"/>
    <x v="1"/>
    <x v="1"/>
    <s v="Yes"/>
    <s v="Yes"/>
    <s v="Yes"/>
    <n v="2"/>
    <x v="1"/>
    <x v="2"/>
  </r>
  <r>
    <x v="8"/>
    <n v="4"/>
    <n v="6"/>
    <n v="13"/>
    <x v="4"/>
    <x v="1"/>
    <s v="Poor"/>
    <x v="1"/>
    <x v="0"/>
    <x v="0"/>
    <s v="Yes"/>
    <s v="Yes"/>
    <s v="Yes"/>
    <n v="1"/>
    <x v="2"/>
    <x v="0"/>
  </r>
  <r>
    <x v="7"/>
    <n v="5"/>
    <n v="2"/>
    <n v="12"/>
    <x v="1"/>
    <x v="0"/>
    <s v="Good"/>
    <x v="0"/>
    <x v="1"/>
    <x v="1"/>
    <s v="No"/>
    <s v="Yes"/>
    <s v="No"/>
    <n v="1"/>
    <x v="2"/>
    <x v="2"/>
  </r>
  <r>
    <x v="22"/>
    <n v="2"/>
    <n v="6"/>
    <n v="2"/>
    <x v="3"/>
    <x v="1"/>
    <s v="Good"/>
    <x v="0"/>
    <x v="1"/>
    <x v="0"/>
    <s v="Yes"/>
    <s v="No"/>
    <s v="No"/>
    <n v="2"/>
    <x v="1"/>
    <x v="0"/>
  </r>
  <r>
    <x v="23"/>
    <n v="5"/>
    <n v="6"/>
    <n v="12"/>
    <x v="5"/>
    <x v="0"/>
    <s v="Poor"/>
    <x v="0"/>
    <x v="0"/>
    <x v="0"/>
    <s v="Yes"/>
    <s v="Yes"/>
    <s v="Yes"/>
    <n v="0"/>
    <x v="0"/>
    <x v="0"/>
  </r>
  <r>
    <x v="13"/>
    <n v="2"/>
    <n v="5"/>
    <n v="12"/>
    <x v="0"/>
    <x v="1"/>
    <s v="Poor"/>
    <x v="0"/>
    <x v="0"/>
    <x v="0"/>
    <s v="No"/>
    <s v="No"/>
    <s v="No"/>
    <n v="1"/>
    <x v="2"/>
    <x v="0"/>
  </r>
  <r>
    <x v="24"/>
    <n v="4"/>
    <n v="1"/>
    <n v="14"/>
    <x v="1"/>
    <x v="1"/>
    <s v="Good"/>
    <x v="1"/>
    <x v="0"/>
    <x v="1"/>
    <s v="No"/>
    <s v="No"/>
    <s v="Yes"/>
    <n v="2"/>
    <x v="1"/>
    <x v="2"/>
  </r>
  <r>
    <x v="11"/>
    <n v="3"/>
    <n v="2"/>
    <n v="11"/>
    <x v="5"/>
    <x v="1"/>
    <s v="Good"/>
    <x v="1"/>
    <x v="1"/>
    <x v="0"/>
    <s v="Yes"/>
    <s v="Yes"/>
    <s v="Yes"/>
    <n v="2"/>
    <x v="1"/>
    <x v="2"/>
  </r>
  <r>
    <x v="25"/>
    <n v="2"/>
    <n v="5"/>
    <n v="20"/>
    <x v="1"/>
    <x v="1"/>
    <s v="Poor"/>
    <x v="0"/>
    <x v="1"/>
    <x v="0"/>
    <s v="Yes"/>
    <s v="Yes"/>
    <s v="No"/>
    <n v="1"/>
    <x v="2"/>
    <x v="0"/>
  </r>
  <r>
    <x v="3"/>
    <n v="2"/>
    <n v="1"/>
    <n v="16"/>
    <x v="4"/>
    <x v="1"/>
    <s v="Poor"/>
    <x v="1"/>
    <x v="0"/>
    <x v="1"/>
    <s v="Yes"/>
    <s v="No"/>
    <s v="No"/>
    <n v="1"/>
    <x v="2"/>
    <x v="2"/>
  </r>
  <r>
    <x v="26"/>
    <n v="1"/>
    <n v="6"/>
    <n v="6"/>
    <x v="2"/>
    <x v="0"/>
    <s v="Poor"/>
    <x v="0"/>
    <x v="0"/>
    <x v="0"/>
    <s v="Yes"/>
    <s v="Yes"/>
    <s v="No"/>
    <n v="0"/>
    <x v="0"/>
    <x v="0"/>
  </r>
  <r>
    <x v="17"/>
    <n v="5"/>
    <n v="2"/>
    <n v="19"/>
    <x v="5"/>
    <x v="0"/>
    <s v="Good"/>
    <x v="0"/>
    <x v="0"/>
    <x v="0"/>
    <s v="Yes"/>
    <s v="Yes"/>
    <s v="No"/>
    <n v="1"/>
    <x v="2"/>
    <x v="2"/>
  </r>
  <r>
    <x v="12"/>
    <n v="1"/>
    <n v="4"/>
    <n v="10"/>
    <x v="2"/>
    <x v="0"/>
    <s v="Poor"/>
    <x v="0"/>
    <x v="1"/>
    <x v="1"/>
    <s v="Yes"/>
    <s v="No"/>
    <s v="No"/>
    <n v="0"/>
    <x v="0"/>
    <x v="1"/>
  </r>
  <r>
    <x v="27"/>
    <n v="4"/>
    <n v="4"/>
    <n v="15"/>
    <x v="5"/>
    <x v="1"/>
    <s v="Poor"/>
    <x v="0"/>
    <x v="0"/>
    <x v="0"/>
    <s v="No"/>
    <s v="No"/>
    <s v="No"/>
    <n v="1"/>
    <x v="2"/>
    <x v="1"/>
  </r>
  <r>
    <x v="23"/>
    <n v="1"/>
    <n v="4"/>
    <n v="6"/>
    <x v="5"/>
    <x v="0"/>
    <s v="Poor"/>
    <x v="0"/>
    <x v="1"/>
    <x v="1"/>
    <s v="No"/>
    <s v="Yes"/>
    <s v="Yes"/>
    <n v="0"/>
    <x v="0"/>
    <x v="1"/>
  </r>
  <r>
    <x v="4"/>
    <n v="4"/>
    <n v="1"/>
    <n v="12"/>
    <x v="2"/>
    <x v="1"/>
    <s v="Good"/>
    <x v="1"/>
    <x v="0"/>
    <x v="0"/>
    <s v="Yes"/>
    <s v="Yes"/>
    <s v="Yes"/>
    <n v="2"/>
    <x v="1"/>
    <x v="2"/>
  </r>
  <r>
    <x v="7"/>
    <n v="3"/>
    <n v="5"/>
    <n v="4"/>
    <x v="5"/>
    <x v="1"/>
    <s v="Poor"/>
    <x v="0"/>
    <x v="1"/>
    <x v="0"/>
    <s v="No"/>
    <s v="Yes"/>
    <s v="Yes"/>
    <n v="1"/>
    <x v="2"/>
    <x v="0"/>
  </r>
  <r>
    <x v="28"/>
    <n v="4"/>
    <n v="7"/>
    <n v="18"/>
    <x v="2"/>
    <x v="0"/>
    <s v="Poor"/>
    <x v="0"/>
    <x v="0"/>
    <x v="1"/>
    <s v="No"/>
    <s v="Yes"/>
    <s v="Yes"/>
    <n v="0"/>
    <x v="0"/>
    <x v="0"/>
  </r>
  <r>
    <x v="0"/>
    <n v="2"/>
    <n v="1"/>
    <n v="8"/>
    <x v="1"/>
    <x v="0"/>
    <s v="Poor"/>
    <x v="0"/>
    <x v="0"/>
    <x v="1"/>
    <s v="Yes"/>
    <s v="Yes"/>
    <s v="No"/>
    <n v="0"/>
    <x v="0"/>
    <x v="2"/>
  </r>
  <r>
    <x v="29"/>
    <n v="5"/>
    <n v="3"/>
    <n v="0"/>
    <x v="1"/>
    <x v="1"/>
    <s v="Poor"/>
    <x v="0"/>
    <x v="0"/>
    <x v="0"/>
    <s v="Yes"/>
    <s v="No"/>
    <s v="No"/>
    <n v="1"/>
    <x v="2"/>
    <x v="1"/>
  </r>
  <r>
    <x v="26"/>
    <n v="2"/>
    <n v="2"/>
    <n v="13"/>
    <x v="6"/>
    <x v="1"/>
    <s v="Poor"/>
    <x v="0"/>
    <x v="0"/>
    <x v="0"/>
    <s v="Yes"/>
    <s v="Yes"/>
    <s v="Yes"/>
    <n v="1"/>
    <x v="2"/>
    <x v="2"/>
  </r>
  <r>
    <x v="1"/>
    <n v="3"/>
    <n v="7"/>
    <n v="12"/>
    <x v="2"/>
    <x v="1"/>
    <s v="Poor"/>
    <x v="0"/>
    <x v="1"/>
    <x v="0"/>
    <s v="No"/>
    <s v="No"/>
    <s v="Yes"/>
    <n v="1"/>
    <x v="2"/>
    <x v="0"/>
  </r>
  <r>
    <x v="16"/>
    <n v="1"/>
    <n v="6"/>
    <n v="8"/>
    <x v="4"/>
    <x v="1"/>
    <s v="Poor"/>
    <x v="0"/>
    <x v="0"/>
    <x v="0"/>
    <s v="Yes"/>
    <s v="Yes"/>
    <s v="No"/>
    <n v="1"/>
    <x v="2"/>
    <x v="0"/>
  </r>
  <r>
    <x v="30"/>
    <n v="1"/>
    <n v="4"/>
    <n v="17"/>
    <x v="2"/>
    <x v="0"/>
    <s v="Good"/>
    <x v="0"/>
    <x v="1"/>
    <x v="0"/>
    <s v="No"/>
    <s v="No"/>
    <s v="Yes"/>
    <n v="1"/>
    <x v="2"/>
    <x v="1"/>
  </r>
  <r>
    <x v="20"/>
    <n v="1"/>
    <n v="4"/>
    <n v="4"/>
    <x v="6"/>
    <x v="0"/>
    <s v="Poor"/>
    <x v="0"/>
    <x v="0"/>
    <x v="0"/>
    <s v="Yes"/>
    <s v="Yes"/>
    <s v="No"/>
    <n v="0"/>
    <x v="0"/>
    <x v="1"/>
  </r>
  <r>
    <x v="2"/>
    <n v="5"/>
    <n v="2"/>
    <n v="1"/>
    <x v="5"/>
    <x v="0"/>
    <s v="Poor"/>
    <x v="0"/>
    <x v="0"/>
    <x v="1"/>
    <s v="Yes"/>
    <s v="Yes"/>
    <s v="Yes"/>
    <n v="0"/>
    <x v="0"/>
    <x v="2"/>
  </r>
  <r>
    <x v="9"/>
    <n v="4"/>
    <n v="2"/>
    <n v="5"/>
    <x v="3"/>
    <x v="0"/>
    <s v="Poor"/>
    <x v="0"/>
    <x v="0"/>
    <x v="0"/>
    <s v="No"/>
    <s v="No"/>
    <s v="Yes"/>
    <n v="0"/>
    <x v="0"/>
    <x v="2"/>
  </r>
  <r>
    <x v="15"/>
    <n v="3"/>
    <n v="1"/>
    <n v="16"/>
    <x v="0"/>
    <x v="1"/>
    <s v="Good"/>
    <x v="0"/>
    <x v="1"/>
    <x v="0"/>
    <s v="No"/>
    <s v="No"/>
    <s v="Yes"/>
    <n v="2"/>
    <x v="1"/>
    <x v="2"/>
  </r>
  <r>
    <x v="16"/>
    <n v="1"/>
    <n v="7"/>
    <n v="16"/>
    <x v="0"/>
    <x v="1"/>
    <s v="Good"/>
    <x v="1"/>
    <x v="1"/>
    <x v="0"/>
    <s v="Yes"/>
    <s v="Yes"/>
    <s v="No"/>
    <n v="2"/>
    <x v="1"/>
    <x v="0"/>
  </r>
  <r>
    <x v="15"/>
    <n v="5"/>
    <n v="3"/>
    <n v="18"/>
    <x v="4"/>
    <x v="0"/>
    <s v="Poor"/>
    <x v="0"/>
    <x v="0"/>
    <x v="1"/>
    <s v="No"/>
    <s v="No"/>
    <s v="No"/>
    <n v="0"/>
    <x v="0"/>
    <x v="1"/>
  </r>
  <r>
    <x v="19"/>
    <n v="2"/>
    <n v="6"/>
    <n v="20"/>
    <x v="6"/>
    <x v="1"/>
    <s v="Good"/>
    <x v="0"/>
    <x v="1"/>
    <x v="0"/>
    <s v="No"/>
    <s v="No"/>
    <s v="No"/>
    <n v="2"/>
    <x v="1"/>
    <x v="0"/>
  </r>
  <r>
    <x v="31"/>
    <n v="4"/>
    <n v="5"/>
    <n v="12"/>
    <x v="5"/>
    <x v="0"/>
    <s v="Good"/>
    <x v="0"/>
    <x v="1"/>
    <x v="1"/>
    <s v="No"/>
    <s v="Yes"/>
    <s v="No"/>
    <n v="1"/>
    <x v="2"/>
    <x v="0"/>
  </r>
  <r>
    <x v="21"/>
    <n v="3"/>
    <n v="3"/>
    <n v="16"/>
    <x v="3"/>
    <x v="0"/>
    <s v="Poor"/>
    <x v="0"/>
    <x v="0"/>
    <x v="0"/>
    <s v="No"/>
    <s v="No"/>
    <s v="No"/>
    <n v="0"/>
    <x v="0"/>
    <x v="1"/>
  </r>
  <r>
    <x v="20"/>
    <n v="4"/>
    <n v="6"/>
    <n v="17"/>
    <x v="5"/>
    <x v="1"/>
    <s v="Good"/>
    <x v="1"/>
    <x v="1"/>
    <x v="1"/>
    <s v="No"/>
    <s v="Yes"/>
    <s v="Yes"/>
    <n v="2"/>
    <x v="1"/>
    <x v="0"/>
  </r>
  <r>
    <x v="17"/>
    <n v="2"/>
    <n v="1"/>
    <n v="15"/>
    <x v="2"/>
    <x v="1"/>
    <s v="Good"/>
    <x v="0"/>
    <x v="1"/>
    <x v="0"/>
    <s v="Yes"/>
    <s v="No"/>
    <s v="No"/>
    <n v="2"/>
    <x v="1"/>
    <x v="2"/>
  </r>
  <r>
    <x v="27"/>
    <n v="4"/>
    <n v="4"/>
    <n v="16"/>
    <x v="1"/>
    <x v="1"/>
    <s v="Good"/>
    <x v="1"/>
    <x v="1"/>
    <x v="0"/>
    <s v="Yes"/>
    <s v="No"/>
    <s v="No"/>
    <n v="2"/>
    <x v="1"/>
    <x v="1"/>
  </r>
  <r>
    <x v="32"/>
    <n v="2"/>
    <n v="5"/>
    <n v="16"/>
    <x v="4"/>
    <x v="0"/>
    <s v="Good"/>
    <x v="0"/>
    <x v="1"/>
    <x v="0"/>
    <s v="No"/>
    <s v="No"/>
    <s v="No"/>
    <n v="1"/>
    <x v="2"/>
    <x v="0"/>
  </r>
  <r>
    <x v="15"/>
    <n v="4"/>
    <n v="1"/>
    <n v="18"/>
    <x v="3"/>
    <x v="1"/>
    <s v="Good"/>
    <x v="1"/>
    <x v="0"/>
    <x v="0"/>
    <s v="Yes"/>
    <s v="Yes"/>
    <s v="Yes"/>
    <n v="2"/>
    <x v="1"/>
    <x v="2"/>
  </r>
  <r>
    <x v="33"/>
    <n v="4"/>
    <n v="1"/>
    <n v="19"/>
    <x v="2"/>
    <x v="1"/>
    <s v="Poor"/>
    <x v="0"/>
    <x v="0"/>
    <x v="1"/>
    <s v="No"/>
    <s v="Yes"/>
    <s v="Yes"/>
    <n v="1"/>
    <x v="2"/>
    <x v="2"/>
  </r>
  <r>
    <x v="0"/>
    <n v="4"/>
    <n v="6"/>
    <n v="4"/>
    <x v="6"/>
    <x v="0"/>
    <s v="Poor"/>
    <x v="0"/>
    <x v="1"/>
    <x v="1"/>
    <s v="No"/>
    <s v="Yes"/>
    <s v="No"/>
    <n v="0"/>
    <x v="0"/>
    <x v="0"/>
  </r>
  <r>
    <x v="34"/>
    <n v="5"/>
    <n v="7"/>
    <n v="0"/>
    <x v="5"/>
    <x v="0"/>
    <s v="Good"/>
    <x v="0"/>
    <x v="0"/>
    <x v="0"/>
    <s v="Yes"/>
    <s v="Yes"/>
    <s v="Yes"/>
    <n v="1"/>
    <x v="2"/>
    <x v="0"/>
  </r>
  <r>
    <x v="35"/>
    <n v="5"/>
    <n v="4"/>
    <n v="12"/>
    <x v="1"/>
    <x v="0"/>
    <s v="Good"/>
    <x v="1"/>
    <x v="1"/>
    <x v="1"/>
    <s v="Yes"/>
    <s v="No"/>
    <s v="Yes"/>
    <n v="1"/>
    <x v="2"/>
    <x v="1"/>
  </r>
  <r>
    <x v="22"/>
    <n v="1"/>
    <n v="5"/>
    <n v="19"/>
    <x v="2"/>
    <x v="0"/>
    <s v="Good"/>
    <x v="0"/>
    <x v="0"/>
    <x v="0"/>
    <s v="No"/>
    <s v="No"/>
    <s v="No"/>
    <n v="1"/>
    <x v="2"/>
    <x v="0"/>
  </r>
  <r>
    <x v="7"/>
    <n v="1"/>
    <n v="2"/>
    <n v="8"/>
    <x v="1"/>
    <x v="1"/>
    <s v="Poor"/>
    <x v="0"/>
    <x v="0"/>
    <x v="1"/>
    <s v="No"/>
    <s v="No"/>
    <s v="No"/>
    <n v="1"/>
    <x v="2"/>
    <x v="2"/>
  </r>
  <r>
    <x v="33"/>
    <n v="2"/>
    <n v="7"/>
    <n v="4"/>
    <x v="5"/>
    <x v="0"/>
    <s v="Good"/>
    <x v="1"/>
    <x v="0"/>
    <x v="1"/>
    <s v="Yes"/>
    <s v="Yes"/>
    <s v="Yes"/>
    <n v="1"/>
    <x v="2"/>
    <x v="0"/>
  </r>
  <r>
    <x v="17"/>
    <n v="1"/>
    <n v="1"/>
    <n v="15"/>
    <x v="0"/>
    <x v="0"/>
    <s v="Good"/>
    <x v="0"/>
    <x v="0"/>
    <x v="1"/>
    <s v="No"/>
    <s v="Yes"/>
    <s v="No"/>
    <n v="1"/>
    <x v="2"/>
    <x v="2"/>
  </r>
  <r>
    <x v="7"/>
    <n v="1"/>
    <n v="3"/>
    <n v="3"/>
    <x v="2"/>
    <x v="0"/>
    <s v="Poor"/>
    <x v="0"/>
    <x v="0"/>
    <x v="1"/>
    <s v="No"/>
    <s v="Yes"/>
    <s v="Yes"/>
    <n v="0"/>
    <x v="0"/>
    <x v="1"/>
  </r>
  <r>
    <x v="0"/>
    <n v="2"/>
    <n v="6"/>
    <n v="18"/>
    <x v="1"/>
    <x v="0"/>
    <s v="Good"/>
    <x v="0"/>
    <x v="1"/>
    <x v="0"/>
    <s v="No"/>
    <s v="Yes"/>
    <s v="No"/>
    <n v="1"/>
    <x v="2"/>
    <x v="0"/>
  </r>
  <r>
    <x v="34"/>
    <n v="1"/>
    <n v="4"/>
    <n v="15"/>
    <x v="4"/>
    <x v="1"/>
    <s v="Poor"/>
    <x v="1"/>
    <x v="0"/>
    <x v="1"/>
    <s v="Yes"/>
    <s v="No"/>
    <s v="No"/>
    <n v="1"/>
    <x v="2"/>
    <x v="1"/>
  </r>
  <r>
    <x v="13"/>
    <n v="1"/>
    <n v="6"/>
    <n v="15"/>
    <x v="5"/>
    <x v="1"/>
    <s v="Poor"/>
    <x v="0"/>
    <x v="1"/>
    <x v="0"/>
    <s v="No"/>
    <s v="Yes"/>
    <s v="No"/>
    <n v="1"/>
    <x v="2"/>
    <x v="0"/>
  </r>
  <r>
    <x v="32"/>
    <n v="3"/>
    <n v="7"/>
    <n v="17"/>
    <x v="6"/>
    <x v="0"/>
    <s v="Poor"/>
    <x v="0"/>
    <x v="1"/>
    <x v="0"/>
    <s v="No"/>
    <s v="Yes"/>
    <s v="No"/>
    <n v="0"/>
    <x v="0"/>
    <x v="0"/>
  </r>
  <r>
    <x v="11"/>
    <n v="5"/>
    <n v="6"/>
    <n v="8"/>
    <x v="5"/>
    <x v="0"/>
    <s v="Poor"/>
    <x v="0"/>
    <x v="0"/>
    <x v="0"/>
    <s v="No"/>
    <s v="No"/>
    <s v="No"/>
    <n v="0"/>
    <x v="0"/>
    <x v="0"/>
  </r>
  <r>
    <x v="27"/>
    <n v="1"/>
    <n v="5"/>
    <n v="20"/>
    <x v="6"/>
    <x v="0"/>
    <s v="Poor"/>
    <x v="0"/>
    <x v="1"/>
    <x v="0"/>
    <s v="No"/>
    <s v="No"/>
    <s v="Yes"/>
    <n v="0"/>
    <x v="0"/>
    <x v="0"/>
  </r>
  <r>
    <x v="36"/>
    <n v="4"/>
    <n v="4"/>
    <n v="3"/>
    <x v="5"/>
    <x v="1"/>
    <s v="Poor"/>
    <x v="0"/>
    <x v="0"/>
    <x v="1"/>
    <s v="No"/>
    <s v="Yes"/>
    <s v="Yes"/>
    <n v="1"/>
    <x v="2"/>
    <x v="1"/>
  </r>
  <r>
    <x v="5"/>
    <n v="4"/>
    <n v="1"/>
    <n v="2"/>
    <x v="2"/>
    <x v="0"/>
    <s v="Good"/>
    <x v="0"/>
    <x v="0"/>
    <x v="0"/>
    <s v="No"/>
    <s v="No"/>
    <s v="No"/>
    <n v="1"/>
    <x v="2"/>
    <x v="2"/>
  </r>
  <r>
    <x v="10"/>
    <n v="4"/>
    <n v="2"/>
    <n v="5"/>
    <x v="5"/>
    <x v="0"/>
    <s v="Good"/>
    <x v="0"/>
    <x v="0"/>
    <x v="1"/>
    <s v="Yes"/>
    <s v="Yes"/>
    <s v="No"/>
    <n v="1"/>
    <x v="2"/>
    <x v="2"/>
  </r>
  <r>
    <x v="22"/>
    <n v="1"/>
    <n v="1"/>
    <n v="11"/>
    <x v="2"/>
    <x v="1"/>
    <s v="Good"/>
    <x v="0"/>
    <x v="0"/>
    <x v="0"/>
    <s v="No"/>
    <s v="No"/>
    <s v="Yes"/>
    <n v="2"/>
    <x v="1"/>
    <x v="2"/>
  </r>
  <r>
    <x v="27"/>
    <n v="3"/>
    <n v="5"/>
    <n v="8"/>
    <x v="6"/>
    <x v="0"/>
    <s v="Poor"/>
    <x v="0"/>
    <x v="1"/>
    <x v="0"/>
    <s v="Yes"/>
    <s v="No"/>
    <s v="Yes"/>
    <n v="0"/>
    <x v="0"/>
    <x v="0"/>
  </r>
  <r>
    <x v="6"/>
    <n v="4"/>
    <n v="7"/>
    <n v="17"/>
    <x v="1"/>
    <x v="0"/>
    <s v="Poor"/>
    <x v="0"/>
    <x v="1"/>
    <x v="1"/>
    <s v="No"/>
    <s v="No"/>
    <s v="Yes"/>
    <n v="0"/>
    <x v="0"/>
    <x v="0"/>
  </r>
  <r>
    <x v="25"/>
    <n v="3"/>
    <n v="3"/>
    <n v="5"/>
    <x v="3"/>
    <x v="0"/>
    <s v="Poor"/>
    <x v="0"/>
    <x v="1"/>
    <x v="1"/>
    <s v="Yes"/>
    <s v="Yes"/>
    <s v="No"/>
    <n v="0"/>
    <x v="0"/>
    <x v="1"/>
  </r>
  <r>
    <x v="26"/>
    <n v="1"/>
    <n v="4"/>
    <n v="11"/>
    <x v="2"/>
    <x v="1"/>
    <s v="Poor"/>
    <x v="0"/>
    <x v="0"/>
    <x v="1"/>
    <s v="No"/>
    <s v="Yes"/>
    <s v="Yes"/>
    <n v="1"/>
    <x v="2"/>
    <x v="1"/>
  </r>
  <r>
    <x v="10"/>
    <n v="5"/>
    <n v="6"/>
    <n v="11"/>
    <x v="1"/>
    <x v="1"/>
    <s v="Good"/>
    <x v="1"/>
    <x v="1"/>
    <x v="0"/>
    <s v="Yes"/>
    <s v="Yes"/>
    <s v="Yes"/>
    <n v="2"/>
    <x v="1"/>
    <x v="0"/>
  </r>
  <r>
    <x v="35"/>
    <n v="5"/>
    <n v="6"/>
    <n v="8"/>
    <x v="2"/>
    <x v="0"/>
    <s v="Poor"/>
    <x v="0"/>
    <x v="0"/>
    <x v="0"/>
    <s v="No"/>
    <s v="No"/>
    <s v="No"/>
    <n v="0"/>
    <x v="0"/>
    <x v="0"/>
  </r>
  <r>
    <x v="33"/>
    <n v="4"/>
    <n v="2"/>
    <n v="1"/>
    <x v="1"/>
    <x v="1"/>
    <s v="Poor"/>
    <x v="0"/>
    <x v="0"/>
    <x v="0"/>
    <s v="No"/>
    <s v="No"/>
    <s v="Yes"/>
    <n v="1"/>
    <x v="2"/>
    <x v="2"/>
  </r>
  <r>
    <x v="13"/>
    <n v="2"/>
    <n v="7"/>
    <n v="3"/>
    <x v="3"/>
    <x v="0"/>
    <s v="Poor"/>
    <x v="0"/>
    <x v="1"/>
    <x v="1"/>
    <s v="No"/>
    <s v="Yes"/>
    <s v="Yes"/>
    <n v="0"/>
    <x v="0"/>
    <x v="0"/>
  </r>
  <r>
    <x v="18"/>
    <n v="4"/>
    <n v="6"/>
    <n v="4"/>
    <x v="5"/>
    <x v="0"/>
    <s v="Poor"/>
    <x v="0"/>
    <x v="0"/>
    <x v="1"/>
    <s v="Yes"/>
    <s v="Yes"/>
    <s v="No"/>
    <n v="0"/>
    <x v="0"/>
    <x v="0"/>
  </r>
  <r>
    <x v="9"/>
    <n v="4"/>
    <n v="2"/>
    <n v="13"/>
    <x v="6"/>
    <x v="1"/>
    <s v="Good"/>
    <x v="1"/>
    <x v="1"/>
    <x v="1"/>
    <s v="Yes"/>
    <s v="No"/>
    <s v="No"/>
    <n v="2"/>
    <x v="1"/>
    <x v="2"/>
  </r>
  <r>
    <x v="37"/>
    <n v="1"/>
    <n v="6"/>
    <n v="8"/>
    <x v="3"/>
    <x v="0"/>
    <s v="Good"/>
    <x v="0"/>
    <x v="1"/>
    <x v="0"/>
    <s v="No"/>
    <s v="No"/>
    <s v="Yes"/>
    <n v="1"/>
    <x v="2"/>
    <x v="0"/>
  </r>
  <r>
    <x v="3"/>
    <n v="3"/>
    <n v="7"/>
    <n v="8"/>
    <x v="2"/>
    <x v="0"/>
    <s v="Good"/>
    <x v="0"/>
    <x v="0"/>
    <x v="1"/>
    <s v="No"/>
    <s v="No"/>
    <s v="Yes"/>
    <n v="1"/>
    <x v="2"/>
    <x v="0"/>
  </r>
  <r>
    <x v="38"/>
    <n v="1"/>
    <n v="7"/>
    <n v="13"/>
    <x v="1"/>
    <x v="1"/>
    <s v="Good"/>
    <x v="1"/>
    <x v="0"/>
    <x v="1"/>
    <s v="Yes"/>
    <s v="No"/>
    <s v="No"/>
    <n v="2"/>
    <x v="1"/>
    <x v="0"/>
  </r>
  <r>
    <x v="19"/>
    <n v="1"/>
    <n v="7"/>
    <n v="12"/>
    <x v="5"/>
    <x v="0"/>
    <s v="Poor"/>
    <x v="1"/>
    <x v="1"/>
    <x v="1"/>
    <s v="Yes"/>
    <s v="No"/>
    <s v="Yes"/>
    <n v="0"/>
    <x v="0"/>
    <x v="0"/>
  </r>
  <r>
    <x v="36"/>
    <n v="3"/>
    <n v="3"/>
    <n v="14"/>
    <x v="6"/>
    <x v="0"/>
    <s v="Good"/>
    <x v="1"/>
    <x v="0"/>
    <x v="1"/>
    <s v="Yes"/>
    <s v="No"/>
    <s v="Yes"/>
    <n v="1"/>
    <x v="2"/>
    <x v="1"/>
  </r>
  <r>
    <x v="23"/>
    <n v="3"/>
    <n v="3"/>
    <n v="14"/>
    <x v="3"/>
    <x v="0"/>
    <s v="Good"/>
    <x v="0"/>
    <x v="0"/>
    <x v="0"/>
    <s v="Yes"/>
    <s v="No"/>
    <s v="No"/>
    <n v="1"/>
    <x v="2"/>
    <x v="1"/>
  </r>
  <r>
    <x v="1"/>
    <n v="2"/>
    <n v="6"/>
    <n v="6"/>
    <x v="0"/>
    <x v="0"/>
    <s v="Good"/>
    <x v="1"/>
    <x v="0"/>
    <x v="1"/>
    <s v="Yes"/>
    <s v="Yes"/>
    <s v="No"/>
    <n v="1"/>
    <x v="2"/>
    <x v="0"/>
  </r>
  <r>
    <x v="30"/>
    <n v="1"/>
    <n v="7"/>
    <n v="1"/>
    <x v="4"/>
    <x v="1"/>
    <s v="Poor"/>
    <x v="0"/>
    <x v="0"/>
    <x v="0"/>
    <s v="No"/>
    <s v="No"/>
    <s v="Yes"/>
    <n v="1"/>
    <x v="2"/>
    <x v="0"/>
  </r>
  <r>
    <x v="38"/>
    <n v="4"/>
    <n v="5"/>
    <n v="14"/>
    <x v="6"/>
    <x v="1"/>
    <s v="Poor"/>
    <x v="0"/>
    <x v="0"/>
    <x v="0"/>
    <s v="No"/>
    <s v="Yes"/>
    <s v="No"/>
    <n v="1"/>
    <x v="2"/>
    <x v="0"/>
  </r>
  <r>
    <x v="20"/>
    <n v="3"/>
    <n v="4"/>
    <n v="7"/>
    <x v="0"/>
    <x v="0"/>
    <s v="Poor"/>
    <x v="0"/>
    <x v="0"/>
    <x v="0"/>
    <s v="Yes"/>
    <s v="Yes"/>
    <s v="No"/>
    <n v="0"/>
    <x v="0"/>
    <x v="1"/>
  </r>
  <r>
    <x v="15"/>
    <n v="2"/>
    <n v="5"/>
    <n v="19"/>
    <x v="3"/>
    <x v="0"/>
    <s v="Good"/>
    <x v="0"/>
    <x v="0"/>
    <x v="0"/>
    <s v="Yes"/>
    <s v="No"/>
    <s v="Yes"/>
    <n v="1"/>
    <x v="2"/>
    <x v="0"/>
  </r>
  <r>
    <x v="27"/>
    <n v="4"/>
    <n v="6"/>
    <n v="1"/>
    <x v="5"/>
    <x v="0"/>
    <s v="Poor"/>
    <x v="0"/>
    <x v="1"/>
    <x v="0"/>
    <s v="Yes"/>
    <s v="No"/>
    <s v="Yes"/>
    <n v="0"/>
    <x v="0"/>
    <x v="0"/>
  </r>
  <r>
    <x v="20"/>
    <n v="4"/>
    <n v="5"/>
    <n v="17"/>
    <x v="1"/>
    <x v="0"/>
    <s v="Poor"/>
    <x v="1"/>
    <x v="1"/>
    <x v="1"/>
    <s v="Yes"/>
    <s v="No"/>
    <s v="Yes"/>
    <n v="0"/>
    <x v="0"/>
    <x v="0"/>
  </r>
  <r>
    <x v="4"/>
    <n v="1"/>
    <n v="5"/>
    <n v="0"/>
    <x v="5"/>
    <x v="1"/>
    <s v="Poor"/>
    <x v="0"/>
    <x v="1"/>
    <x v="1"/>
    <s v="No"/>
    <s v="Yes"/>
    <s v="Yes"/>
    <n v="1"/>
    <x v="2"/>
    <x v="0"/>
  </r>
  <r>
    <x v="6"/>
    <n v="1"/>
    <n v="2"/>
    <n v="6"/>
    <x v="4"/>
    <x v="1"/>
    <s v="Poor"/>
    <x v="0"/>
    <x v="1"/>
    <x v="1"/>
    <s v="No"/>
    <s v="Yes"/>
    <s v="No"/>
    <n v="1"/>
    <x v="2"/>
    <x v="2"/>
  </r>
  <r>
    <x v="27"/>
    <n v="1"/>
    <n v="3"/>
    <n v="9"/>
    <x v="2"/>
    <x v="1"/>
    <s v="Good"/>
    <x v="0"/>
    <x v="0"/>
    <x v="0"/>
    <s v="Yes"/>
    <s v="No"/>
    <s v="No"/>
    <n v="2"/>
    <x v="1"/>
    <x v="1"/>
  </r>
  <r>
    <x v="4"/>
    <n v="3"/>
    <n v="6"/>
    <n v="5"/>
    <x v="4"/>
    <x v="0"/>
    <s v="Good"/>
    <x v="1"/>
    <x v="0"/>
    <x v="1"/>
    <s v="Yes"/>
    <s v="No"/>
    <s v="Yes"/>
    <n v="1"/>
    <x v="2"/>
    <x v="0"/>
  </r>
  <r>
    <x v="4"/>
    <n v="2"/>
    <n v="7"/>
    <n v="2"/>
    <x v="4"/>
    <x v="0"/>
    <s v="Good"/>
    <x v="0"/>
    <x v="0"/>
    <x v="0"/>
    <s v="Yes"/>
    <s v="No"/>
    <s v="No"/>
    <n v="1"/>
    <x v="2"/>
    <x v="0"/>
  </r>
  <r>
    <x v="38"/>
    <n v="5"/>
    <n v="1"/>
    <n v="5"/>
    <x v="1"/>
    <x v="0"/>
    <s v="Poor"/>
    <x v="0"/>
    <x v="0"/>
    <x v="0"/>
    <s v="Yes"/>
    <s v="No"/>
    <s v="No"/>
    <n v="0"/>
    <x v="0"/>
    <x v="2"/>
  </r>
  <r>
    <x v="39"/>
    <n v="4"/>
    <n v="3"/>
    <n v="10"/>
    <x v="0"/>
    <x v="1"/>
    <s v="Poor"/>
    <x v="0"/>
    <x v="1"/>
    <x v="0"/>
    <s v="Yes"/>
    <s v="Yes"/>
    <s v="No"/>
    <n v="1"/>
    <x v="2"/>
    <x v="1"/>
  </r>
  <r>
    <x v="6"/>
    <n v="3"/>
    <n v="3"/>
    <n v="1"/>
    <x v="4"/>
    <x v="0"/>
    <s v="Good"/>
    <x v="0"/>
    <x v="0"/>
    <x v="0"/>
    <s v="No"/>
    <s v="Yes"/>
    <s v="No"/>
    <n v="1"/>
    <x v="2"/>
    <x v="1"/>
  </r>
  <r>
    <x v="14"/>
    <n v="4"/>
    <n v="1"/>
    <n v="0"/>
    <x v="1"/>
    <x v="0"/>
    <s v="Poor"/>
    <x v="0"/>
    <x v="0"/>
    <x v="0"/>
    <s v="Yes"/>
    <s v="Yes"/>
    <s v="Yes"/>
    <n v="0"/>
    <x v="0"/>
    <x v="2"/>
  </r>
  <r>
    <x v="34"/>
    <n v="1"/>
    <n v="6"/>
    <n v="7"/>
    <x v="6"/>
    <x v="1"/>
    <s v="Poor"/>
    <x v="0"/>
    <x v="0"/>
    <x v="0"/>
    <s v="Yes"/>
    <s v="No"/>
    <s v="Yes"/>
    <n v="1"/>
    <x v="2"/>
    <x v="0"/>
  </r>
  <r>
    <x v="2"/>
    <n v="1"/>
    <n v="6"/>
    <n v="2"/>
    <x v="5"/>
    <x v="0"/>
    <s v="Poor"/>
    <x v="0"/>
    <x v="1"/>
    <x v="0"/>
    <s v="No"/>
    <s v="Yes"/>
    <s v="Yes"/>
    <n v="0"/>
    <x v="0"/>
    <x v="0"/>
  </r>
  <r>
    <x v="5"/>
    <n v="5"/>
    <n v="1"/>
    <n v="3"/>
    <x v="3"/>
    <x v="1"/>
    <s v="Good"/>
    <x v="0"/>
    <x v="1"/>
    <x v="0"/>
    <s v="No"/>
    <s v="No"/>
    <s v="Yes"/>
    <n v="2"/>
    <x v="1"/>
    <x v="2"/>
  </r>
  <r>
    <x v="17"/>
    <n v="3"/>
    <n v="4"/>
    <n v="1"/>
    <x v="0"/>
    <x v="0"/>
    <s v="Good"/>
    <x v="0"/>
    <x v="0"/>
    <x v="1"/>
    <s v="No"/>
    <s v="No"/>
    <s v="Yes"/>
    <n v="1"/>
    <x v="2"/>
    <x v="1"/>
  </r>
  <r>
    <x v="36"/>
    <n v="1"/>
    <n v="6"/>
    <n v="12"/>
    <x v="4"/>
    <x v="0"/>
    <s v="Poor"/>
    <x v="0"/>
    <x v="0"/>
    <x v="1"/>
    <s v="Yes"/>
    <s v="No"/>
    <s v="No"/>
    <n v="0"/>
    <x v="0"/>
    <x v="0"/>
  </r>
  <r>
    <x v="9"/>
    <n v="3"/>
    <n v="7"/>
    <n v="5"/>
    <x v="3"/>
    <x v="1"/>
    <s v="Poor"/>
    <x v="0"/>
    <x v="1"/>
    <x v="0"/>
    <s v="Yes"/>
    <s v="No"/>
    <s v="Yes"/>
    <n v="1"/>
    <x v="2"/>
    <x v="0"/>
  </r>
  <r>
    <x v="16"/>
    <n v="4"/>
    <n v="7"/>
    <n v="10"/>
    <x v="4"/>
    <x v="0"/>
    <s v="Good"/>
    <x v="0"/>
    <x v="0"/>
    <x v="0"/>
    <s v="No"/>
    <s v="Yes"/>
    <s v="No"/>
    <n v="1"/>
    <x v="2"/>
    <x v="0"/>
  </r>
  <r>
    <x v="10"/>
    <n v="2"/>
    <n v="2"/>
    <n v="14"/>
    <x v="0"/>
    <x v="0"/>
    <s v="Poor"/>
    <x v="0"/>
    <x v="0"/>
    <x v="0"/>
    <s v="Yes"/>
    <s v="Yes"/>
    <s v="Yes"/>
    <n v="0"/>
    <x v="0"/>
    <x v="2"/>
  </r>
  <r>
    <x v="20"/>
    <n v="3"/>
    <n v="2"/>
    <n v="8"/>
    <x v="2"/>
    <x v="1"/>
    <s v="Good"/>
    <x v="1"/>
    <x v="1"/>
    <x v="0"/>
    <s v="Yes"/>
    <s v="No"/>
    <s v="Yes"/>
    <n v="2"/>
    <x v="1"/>
    <x v="2"/>
  </r>
  <r>
    <x v="1"/>
    <n v="2"/>
    <n v="3"/>
    <n v="8"/>
    <x v="5"/>
    <x v="1"/>
    <s v="Good"/>
    <x v="1"/>
    <x v="0"/>
    <x v="1"/>
    <s v="No"/>
    <s v="No"/>
    <s v="No"/>
    <n v="2"/>
    <x v="1"/>
    <x v="1"/>
  </r>
  <r>
    <x v="15"/>
    <n v="4"/>
    <n v="5"/>
    <n v="13"/>
    <x v="1"/>
    <x v="1"/>
    <s v="Poor"/>
    <x v="1"/>
    <x v="1"/>
    <x v="0"/>
    <s v="Yes"/>
    <s v="No"/>
    <s v="Yes"/>
    <n v="1"/>
    <x v="2"/>
    <x v="0"/>
  </r>
  <r>
    <x v="13"/>
    <n v="1"/>
    <n v="5"/>
    <n v="3"/>
    <x v="5"/>
    <x v="0"/>
    <s v="Good"/>
    <x v="0"/>
    <x v="1"/>
    <x v="1"/>
    <s v="No"/>
    <s v="Yes"/>
    <s v="No"/>
    <n v="1"/>
    <x v="2"/>
    <x v="0"/>
  </r>
  <r>
    <x v="9"/>
    <n v="2"/>
    <n v="2"/>
    <n v="0"/>
    <x v="0"/>
    <x v="1"/>
    <s v="Good"/>
    <x v="0"/>
    <x v="1"/>
    <x v="0"/>
    <s v="Yes"/>
    <s v="No"/>
    <s v="No"/>
    <n v="2"/>
    <x v="1"/>
    <x v="2"/>
  </r>
  <r>
    <x v="27"/>
    <n v="4"/>
    <n v="1"/>
    <n v="11"/>
    <x v="5"/>
    <x v="1"/>
    <s v="Good"/>
    <x v="1"/>
    <x v="1"/>
    <x v="1"/>
    <s v="No"/>
    <s v="No"/>
    <s v="No"/>
    <n v="2"/>
    <x v="1"/>
    <x v="2"/>
  </r>
  <r>
    <x v="40"/>
    <n v="2"/>
    <n v="6"/>
    <n v="8"/>
    <x v="6"/>
    <x v="1"/>
    <s v="Poor"/>
    <x v="0"/>
    <x v="0"/>
    <x v="0"/>
    <s v="Yes"/>
    <s v="No"/>
    <s v="No"/>
    <n v="1"/>
    <x v="2"/>
    <x v="0"/>
  </r>
  <r>
    <x v="0"/>
    <n v="2"/>
    <n v="5"/>
    <n v="13"/>
    <x v="2"/>
    <x v="1"/>
    <s v="Poor"/>
    <x v="1"/>
    <x v="0"/>
    <x v="1"/>
    <s v="Yes"/>
    <s v="No"/>
    <s v="No"/>
    <n v="1"/>
    <x v="2"/>
    <x v="0"/>
  </r>
  <r>
    <x v="30"/>
    <n v="2"/>
    <n v="2"/>
    <n v="10"/>
    <x v="4"/>
    <x v="1"/>
    <s v="Poor"/>
    <x v="0"/>
    <x v="1"/>
    <x v="1"/>
    <s v="No"/>
    <s v="No"/>
    <s v="Yes"/>
    <n v="1"/>
    <x v="2"/>
    <x v="2"/>
  </r>
  <r>
    <x v="2"/>
    <n v="1"/>
    <n v="3"/>
    <n v="16"/>
    <x v="2"/>
    <x v="0"/>
    <s v="Good"/>
    <x v="0"/>
    <x v="0"/>
    <x v="0"/>
    <s v="No"/>
    <s v="Yes"/>
    <s v="Yes"/>
    <n v="1"/>
    <x v="2"/>
    <x v="1"/>
  </r>
  <r>
    <x v="32"/>
    <n v="5"/>
    <n v="1"/>
    <n v="3"/>
    <x v="5"/>
    <x v="1"/>
    <s v="Good"/>
    <x v="0"/>
    <x v="0"/>
    <x v="0"/>
    <s v="No"/>
    <s v="No"/>
    <s v="No"/>
    <n v="2"/>
    <x v="1"/>
    <x v="2"/>
  </r>
  <r>
    <x v="30"/>
    <n v="3"/>
    <n v="1"/>
    <n v="9"/>
    <x v="1"/>
    <x v="1"/>
    <s v="Good"/>
    <x v="1"/>
    <x v="0"/>
    <x v="1"/>
    <s v="No"/>
    <s v="No"/>
    <s v="No"/>
    <n v="2"/>
    <x v="1"/>
    <x v="2"/>
  </r>
  <r>
    <x v="24"/>
    <n v="1"/>
    <n v="5"/>
    <n v="20"/>
    <x v="0"/>
    <x v="0"/>
    <s v="Good"/>
    <x v="1"/>
    <x v="0"/>
    <x v="1"/>
    <s v="Yes"/>
    <s v="No"/>
    <s v="No"/>
    <n v="1"/>
    <x v="2"/>
    <x v="0"/>
  </r>
  <r>
    <x v="4"/>
    <n v="1"/>
    <n v="3"/>
    <n v="3"/>
    <x v="1"/>
    <x v="0"/>
    <s v="Poor"/>
    <x v="0"/>
    <x v="0"/>
    <x v="1"/>
    <s v="Yes"/>
    <s v="No"/>
    <s v="No"/>
    <n v="0"/>
    <x v="0"/>
    <x v="1"/>
  </r>
  <r>
    <x v="11"/>
    <n v="1"/>
    <n v="4"/>
    <n v="0"/>
    <x v="2"/>
    <x v="1"/>
    <s v="Poor"/>
    <x v="0"/>
    <x v="1"/>
    <x v="1"/>
    <s v="Yes"/>
    <s v="Yes"/>
    <s v="Yes"/>
    <n v="1"/>
    <x v="2"/>
    <x v="1"/>
  </r>
  <r>
    <x v="6"/>
    <n v="1"/>
    <n v="5"/>
    <n v="1"/>
    <x v="6"/>
    <x v="1"/>
    <s v="Poor"/>
    <x v="0"/>
    <x v="1"/>
    <x v="0"/>
    <s v="Yes"/>
    <s v="No"/>
    <s v="Yes"/>
    <n v="1"/>
    <x v="2"/>
    <x v="0"/>
  </r>
  <r>
    <x v="23"/>
    <n v="4"/>
    <n v="1"/>
    <n v="6"/>
    <x v="5"/>
    <x v="0"/>
    <s v="Poor"/>
    <x v="0"/>
    <x v="0"/>
    <x v="1"/>
    <s v="Yes"/>
    <s v="Yes"/>
    <s v="Yes"/>
    <n v="0"/>
    <x v="0"/>
    <x v="2"/>
  </r>
  <r>
    <x v="41"/>
    <n v="5"/>
    <n v="5"/>
    <n v="11"/>
    <x v="3"/>
    <x v="1"/>
    <s v="Good"/>
    <x v="0"/>
    <x v="1"/>
    <x v="0"/>
    <s v="No"/>
    <s v="No"/>
    <s v="Yes"/>
    <n v="2"/>
    <x v="1"/>
    <x v="0"/>
  </r>
  <r>
    <x v="10"/>
    <n v="5"/>
    <n v="2"/>
    <n v="14"/>
    <x v="3"/>
    <x v="1"/>
    <s v="Poor"/>
    <x v="0"/>
    <x v="0"/>
    <x v="0"/>
    <s v="No"/>
    <s v="Yes"/>
    <s v="Yes"/>
    <n v="1"/>
    <x v="2"/>
    <x v="2"/>
  </r>
  <r>
    <x v="32"/>
    <n v="2"/>
    <n v="4"/>
    <n v="12"/>
    <x v="4"/>
    <x v="1"/>
    <s v="Good"/>
    <x v="1"/>
    <x v="0"/>
    <x v="0"/>
    <s v="Yes"/>
    <s v="No"/>
    <s v="No"/>
    <n v="2"/>
    <x v="1"/>
    <x v="1"/>
  </r>
  <r>
    <x v="19"/>
    <n v="3"/>
    <n v="6"/>
    <n v="18"/>
    <x v="5"/>
    <x v="1"/>
    <s v="Good"/>
    <x v="1"/>
    <x v="0"/>
    <x v="1"/>
    <s v="Yes"/>
    <s v="Yes"/>
    <s v="No"/>
    <n v="2"/>
    <x v="1"/>
    <x v="0"/>
  </r>
  <r>
    <x v="41"/>
    <n v="3"/>
    <n v="2"/>
    <n v="9"/>
    <x v="3"/>
    <x v="0"/>
    <s v="Poor"/>
    <x v="0"/>
    <x v="1"/>
    <x v="0"/>
    <s v="No"/>
    <s v="Yes"/>
    <s v="No"/>
    <n v="0"/>
    <x v="0"/>
    <x v="2"/>
  </r>
  <r>
    <x v="40"/>
    <n v="1"/>
    <n v="6"/>
    <n v="8"/>
    <x v="6"/>
    <x v="1"/>
    <s v="Good"/>
    <x v="1"/>
    <x v="0"/>
    <x v="1"/>
    <s v="No"/>
    <s v="No"/>
    <s v="No"/>
    <n v="2"/>
    <x v="1"/>
    <x v="0"/>
  </r>
  <r>
    <x v="12"/>
    <n v="2"/>
    <n v="4"/>
    <n v="14"/>
    <x v="3"/>
    <x v="0"/>
    <s v="Good"/>
    <x v="0"/>
    <x v="1"/>
    <x v="0"/>
    <s v="No"/>
    <s v="No"/>
    <s v="Yes"/>
    <n v="1"/>
    <x v="2"/>
    <x v="1"/>
  </r>
  <r>
    <x v="15"/>
    <n v="4"/>
    <n v="6"/>
    <n v="1"/>
    <x v="0"/>
    <x v="0"/>
    <s v="Good"/>
    <x v="0"/>
    <x v="1"/>
    <x v="1"/>
    <s v="No"/>
    <s v="No"/>
    <s v="Yes"/>
    <n v="1"/>
    <x v="2"/>
    <x v="0"/>
  </r>
  <r>
    <x v="3"/>
    <n v="4"/>
    <n v="3"/>
    <n v="5"/>
    <x v="1"/>
    <x v="1"/>
    <s v="Poor"/>
    <x v="0"/>
    <x v="0"/>
    <x v="0"/>
    <s v="Yes"/>
    <s v="No"/>
    <s v="No"/>
    <n v="1"/>
    <x v="2"/>
    <x v="1"/>
  </r>
  <r>
    <x v="40"/>
    <n v="5"/>
    <n v="7"/>
    <n v="3"/>
    <x v="1"/>
    <x v="0"/>
    <s v="Poor"/>
    <x v="0"/>
    <x v="1"/>
    <x v="0"/>
    <s v="No"/>
    <s v="Yes"/>
    <s v="No"/>
    <n v="0"/>
    <x v="0"/>
    <x v="0"/>
  </r>
  <r>
    <x v="19"/>
    <n v="2"/>
    <n v="3"/>
    <n v="17"/>
    <x v="1"/>
    <x v="0"/>
    <s v="Good"/>
    <x v="0"/>
    <x v="0"/>
    <x v="0"/>
    <s v="No"/>
    <s v="Yes"/>
    <s v="No"/>
    <n v="1"/>
    <x v="2"/>
    <x v="1"/>
  </r>
  <r>
    <x v="25"/>
    <n v="3"/>
    <n v="4"/>
    <n v="10"/>
    <x v="5"/>
    <x v="0"/>
    <s v="Poor"/>
    <x v="0"/>
    <x v="1"/>
    <x v="0"/>
    <s v="No"/>
    <s v="Yes"/>
    <s v="No"/>
    <n v="0"/>
    <x v="0"/>
    <x v="1"/>
  </r>
  <r>
    <x v="0"/>
    <n v="4"/>
    <n v="2"/>
    <n v="1"/>
    <x v="3"/>
    <x v="1"/>
    <s v="Good"/>
    <x v="0"/>
    <x v="0"/>
    <x v="1"/>
    <s v="No"/>
    <s v="No"/>
    <s v="No"/>
    <n v="2"/>
    <x v="1"/>
    <x v="2"/>
  </r>
  <r>
    <x v="11"/>
    <n v="3"/>
    <n v="6"/>
    <n v="19"/>
    <x v="5"/>
    <x v="1"/>
    <s v="Good"/>
    <x v="1"/>
    <x v="0"/>
    <x v="1"/>
    <s v="No"/>
    <s v="No"/>
    <s v="Yes"/>
    <n v="2"/>
    <x v="1"/>
    <x v="0"/>
  </r>
  <r>
    <x v="34"/>
    <n v="4"/>
    <n v="4"/>
    <n v="15"/>
    <x v="2"/>
    <x v="1"/>
    <s v="Poor"/>
    <x v="0"/>
    <x v="1"/>
    <x v="1"/>
    <s v="Yes"/>
    <s v="No"/>
    <s v="No"/>
    <n v="1"/>
    <x v="2"/>
    <x v="1"/>
  </r>
  <r>
    <x v="8"/>
    <n v="3"/>
    <n v="2"/>
    <n v="5"/>
    <x v="0"/>
    <x v="1"/>
    <s v="Good"/>
    <x v="1"/>
    <x v="1"/>
    <x v="1"/>
    <s v="Yes"/>
    <s v="No"/>
    <s v="Yes"/>
    <n v="2"/>
    <x v="1"/>
    <x v="2"/>
  </r>
  <r>
    <x v="12"/>
    <n v="4"/>
    <n v="6"/>
    <n v="8"/>
    <x v="2"/>
    <x v="0"/>
    <s v="Good"/>
    <x v="0"/>
    <x v="1"/>
    <x v="1"/>
    <s v="No"/>
    <s v="Yes"/>
    <s v="Yes"/>
    <n v="1"/>
    <x v="2"/>
    <x v="0"/>
  </r>
  <r>
    <x v="34"/>
    <n v="4"/>
    <n v="1"/>
    <n v="1"/>
    <x v="0"/>
    <x v="1"/>
    <s v="Good"/>
    <x v="1"/>
    <x v="0"/>
    <x v="1"/>
    <s v="Yes"/>
    <s v="No"/>
    <s v="Yes"/>
    <n v="2"/>
    <x v="1"/>
    <x v="2"/>
  </r>
  <r>
    <x v="11"/>
    <n v="4"/>
    <n v="3"/>
    <n v="8"/>
    <x v="1"/>
    <x v="1"/>
    <s v="Poor"/>
    <x v="1"/>
    <x v="1"/>
    <x v="1"/>
    <s v="Yes"/>
    <s v="Yes"/>
    <s v="Yes"/>
    <n v="1"/>
    <x v="2"/>
    <x v="1"/>
  </r>
  <r>
    <x v="23"/>
    <n v="4"/>
    <n v="2"/>
    <n v="14"/>
    <x v="2"/>
    <x v="1"/>
    <s v="Good"/>
    <x v="1"/>
    <x v="0"/>
    <x v="0"/>
    <s v="Yes"/>
    <s v="No"/>
    <s v="Yes"/>
    <n v="2"/>
    <x v="1"/>
    <x v="2"/>
  </r>
  <r>
    <x v="9"/>
    <n v="3"/>
    <n v="7"/>
    <n v="12"/>
    <x v="0"/>
    <x v="1"/>
    <s v="Good"/>
    <x v="1"/>
    <x v="1"/>
    <x v="1"/>
    <s v="Yes"/>
    <s v="Yes"/>
    <s v="No"/>
    <n v="2"/>
    <x v="1"/>
    <x v="0"/>
  </r>
  <r>
    <x v="25"/>
    <n v="1"/>
    <n v="3"/>
    <n v="7"/>
    <x v="0"/>
    <x v="1"/>
    <s v="Poor"/>
    <x v="0"/>
    <x v="0"/>
    <x v="0"/>
    <s v="Yes"/>
    <s v="No"/>
    <s v="No"/>
    <n v="1"/>
    <x v="2"/>
    <x v="1"/>
  </r>
  <r>
    <x v="35"/>
    <n v="1"/>
    <n v="1"/>
    <n v="0"/>
    <x v="4"/>
    <x v="0"/>
    <s v="Poor"/>
    <x v="0"/>
    <x v="1"/>
    <x v="1"/>
    <s v="No"/>
    <s v="No"/>
    <s v="Yes"/>
    <n v="0"/>
    <x v="0"/>
    <x v="2"/>
  </r>
  <r>
    <x v="18"/>
    <n v="5"/>
    <n v="6"/>
    <n v="15"/>
    <x v="6"/>
    <x v="0"/>
    <s v="Good"/>
    <x v="0"/>
    <x v="0"/>
    <x v="0"/>
    <s v="Yes"/>
    <s v="No"/>
    <s v="No"/>
    <n v="1"/>
    <x v="2"/>
    <x v="0"/>
  </r>
  <r>
    <x v="30"/>
    <n v="3"/>
    <n v="2"/>
    <n v="10"/>
    <x v="3"/>
    <x v="0"/>
    <s v="Good"/>
    <x v="0"/>
    <x v="0"/>
    <x v="0"/>
    <s v="Yes"/>
    <s v="No"/>
    <s v="No"/>
    <n v="1"/>
    <x v="2"/>
    <x v="2"/>
  </r>
  <r>
    <x v="23"/>
    <n v="1"/>
    <n v="2"/>
    <n v="18"/>
    <x v="4"/>
    <x v="0"/>
    <s v="Good"/>
    <x v="0"/>
    <x v="0"/>
    <x v="0"/>
    <s v="No"/>
    <s v="No"/>
    <s v="No"/>
    <n v="1"/>
    <x v="2"/>
    <x v="2"/>
  </r>
  <r>
    <x v="14"/>
    <n v="4"/>
    <n v="4"/>
    <n v="19"/>
    <x v="0"/>
    <x v="0"/>
    <s v="Good"/>
    <x v="0"/>
    <x v="0"/>
    <x v="0"/>
    <s v="No"/>
    <s v="No"/>
    <s v="No"/>
    <n v="1"/>
    <x v="2"/>
    <x v="1"/>
  </r>
  <r>
    <x v="23"/>
    <n v="5"/>
    <n v="3"/>
    <n v="11"/>
    <x v="4"/>
    <x v="1"/>
    <s v="Good"/>
    <x v="1"/>
    <x v="0"/>
    <x v="1"/>
    <s v="Yes"/>
    <s v="No"/>
    <s v="No"/>
    <n v="2"/>
    <x v="1"/>
    <x v="1"/>
  </r>
  <r>
    <x v="26"/>
    <n v="2"/>
    <n v="6"/>
    <n v="20"/>
    <x v="1"/>
    <x v="1"/>
    <s v="Poor"/>
    <x v="0"/>
    <x v="1"/>
    <x v="0"/>
    <s v="Yes"/>
    <s v="No"/>
    <s v="No"/>
    <n v="1"/>
    <x v="2"/>
    <x v="0"/>
  </r>
  <r>
    <x v="36"/>
    <n v="1"/>
    <n v="2"/>
    <n v="18"/>
    <x v="6"/>
    <x v="1"/>
    <s v="Poor"/>
    <x v="0"/>
    <x v="0"/>
    <x v="0"/>
    <s v="No"/>
    <s v="No"/>
    <s v="Yes"/>
    <n v="1"/>
    <x v="2"/>
    <x v="2"/>
  </r>
  <r>
    <x v="31"/>
    <n v="1"/>
    <n v="2"/>
    <n v="6"/>
    <x v="1"/>
    <x v="0"/>
    <s v="Poor"/>
    <x v="0"/>
    <x v="1"/>
    <x v="1"/>
    <s v="No"/>
    <s v="No"/>
    <s v="No"/>
    <n v="0"/>
    <x v="0"/>
    <x v="2"/>
  </r>
  <r>
    <x v="13"/>
    <n v="5"/>
    <n v="4"/>
    <n v="4"/>
    <x v="3"/>
    <x v="1"/>
    <s v="Poor"/>
    <x v="0"/>
    <x v="0"/>
    <x v="0"/>
    <s v="Yes"/>
    <s v="Yes"/>
    <s v="Yes"/>
    <n v="1"/>
    <x v="2"/>
    <x v="1"/>
  </r>
  <r>
    <x v="26"/>
    <n v="4"/>
    <n v="3"/>
    <n v="7"/>
    <x v="0"/>
    <x v="0"/>
    <s v="Good"/>
    <x v="0"/>
    <x v="1"/>
    <x v="0"/>
    <s v="No"/>
    <s v="Yes"/>
    <s v="No"/>
    <n v="1"/>
    <x v="2"/>
    <x v="1"/>
  </r>
  <r>
    <x v="10"/>
    <n v="3"/>
    <n v="4"/>
    <n v="20"/>
    <x v="0"/>
    <x v="1"/>
    <s v="Good"/>
    <x v="1"/>
    <x v="1"/>
    <x v="1"/>
    <s v="Yes"/>
    <s v="No"/>
    <s v="No"/>
    <n v="2"/>
    <x v="1"/>
    <x v="1"/>
  </r>
  <r>
    <x v="11"/>
    <n v="2"/>
    <n v="6"/>
    <n v="19"/>
    <x v="1"/>
    <x v="1"/>
    <s v="Good"/>
    <x v="1"/>
    <x v="0"/>
    <x v="1"/>
    <s v="Yes"/>
    <s v="No"/>
    <s v="Yes"/>
    <n v="2"/>
    <x v="1"/>
    <x v="0"/>
  </r>
  <r>
    <x v="37"/>
    <n v="4"/>
    <n v="3"/>
    <n v="20"/>
    <x v="0"/>
    <x v="1"/>
    <s v="Poor"/>
    <x v="0"/>
    <x v="0"/>
    <x v="0"/>
    <s v="Yes"/>
    <s v="No"/>
    <s v="No"/>
    <n v="1"/>
    <x v="2"/>
    <x v="1"/>
  </r>
  <r>
    <x v="38"/>
    <n v="3"/>
    <n v="7"/>
    <n v="8"/>
    <x v="3"/>
    <x v="1"/>
    <s v="Poor"/>
    <x v="1"/>
    <x v="0"/>
    <x v="1"/>
    <s v="Yes"/>
    <s v="Yes"/>
    <s v="Yes"/>
    <n v="1"/>
    <x v="2"/>
    <x v="0"/>
  </r>
  <r>
    <x v="18"/>
    <n v="3"/>
    <n v="4"/>
    <n v="9"/>
    <x v="3"/>
    <x v="0"/>
    <s v="Poor"/>
    <x v="0"/>
    <x v="1"/>
    <x v="1"/>
    <s v="No"/>
    <s v="Yes"/>
    <s v="No"/>
    <n v="0"/>
    <x v="0"/>
    <x v="1"/>
  </r>
  <r>
    <x v="34"/>
    <n v="1"/>
    <n v="3"/>
    <n v="3"/>
    <x v="1"/>
    <x v="0"/>
    <s v="Good"/>
    <x v="0"/>
    <x v="1"/>
    <x v="1"/>
    <s v="Yes"/>
    <s v="No"/>
    <s v="No"/>
    <n v="1"/>
    <x v="2"/>
    <x v="1"/>
  </r>
  <r>
    <x v="11"/>
    <n v="3"/>
    <n v="3"/>
    <n v="5"/>
    <x v="1"/>
    <x v="0"/>
    <s v="Good"/>
    <x v="0"/>
    <x v="0"/>
    <x v="1"/>
    <s v="No"/>
    <s v="No"/>
    <s v="No"/>
    <n v="1"/>
    <x v="2"/>
    <x v="1"/>
  </r>
  <r>
    <x v="12"/>
    <n v="4"/>
    <n v="6"/>
    <n v="11"/>
    <x v="3"/>
    <x v="1"/>
    <s v="Good"/>
    <x v="0"/>
    <x v="0"/>
    <x v="0"/>
    <s v="No"/>
    <s v="Yes"/>
    <s v="No"/>
    <n v="2"/>
    <x v="1"/>
    <x v="0"/>
  </r>
  <r>
    <x v="25"/>
    <n v="3"/>
    <n v="4"/>
    <n v="12"/>
    <x v="5"/>
    <x v="0"/>
    <s v="Good"/>
    <x v="0"/>
    <x v="0"/>
    <x v="0"/>
    <s v="Yes"/>
    <s v="Yes"/>
    <s v="No"/>
    <n v="1"/>
    <x v="2"/>
    <x v="1"/>
  </r>
  <r>
    <x v="42"/>
    <n v="4"/>
    <n v="2"/>
    <n v="0"/>
    <x v="5"/>
    <x v="0"/>
    <s v="Good"/>
    <x v="0"/>
    <x v="1"/>
    <x v="1"/>
    <s v="Yes"/>
    <s v="No"/>
    <s v="No"/>
    <n v="1"/>
    <x v="2"/>
    <x v="2"/>
  </r>
  <r>
    <x v="13"/>
    <n v="2"/>
    <n v="2"/>
    <n v="20"/>
    <x v="5"/>
    <x v="0"/>
    <s v="Good"/>
    <x v="0"/>
    <x v="0"/>
    <x v="1"/>
    <s v="No"/>
    <s v="No"/>
    <s v="No"/>
    <n v="1"/>
    <x v="2"/>
    <x v="2"/>
  </r>
  <r>
    <x v="28"/>
    <n v="3"/>
    <n v="4"/>
    <n v="4"/>
    <x v="4"/>
    <x v="0"/>
    <s v="Poor"/>
    <x v="0"/>
    <x v="1"/>
    <x v="1"/>
    <s v="No"/>
    <s v="Yes"/>
    <s v="Yes"/>
    <n v="0"/>
    <x v="0"/>
    <x v="1"/>
  </r>
  <r>
    <x v="22"/>
    <n v="5"/>
    <n v="5"/>
    <n v="8"/>
    <x v="6"/>
    <x v="1"/>
    <s v="Poor"/>
    <x v="1"/>
    <x v="1"/>
    <x v="1"/>
    <s v="Yes"/>
    <s v="Yes"/>
    <s v="No"/>
    <n v="1"/>
    <x v="2"/>
    <x v="0"/>
  </r>
  <r>
    <x v="36"/>
    <n v="5"/>
    <n v="1"/>
    <n v="16"/>
    <x v="1"/>
    <x v="0"/>
    <s v="Good"/>
    <x v="0"/>
    <x v="0"/>
    <x v="0"/>
    <s v="No"/>
    <s v="No"/>
    <s v="No"/>
    <n v="1"/>
    <x v="2"/>
    <x v="2"/>
  </r>
  <r>
    <x v="12"/>
    <n v="4"/>
    <n v="2"/>
    <n v="8"/>
    <x v="0"/>
    <x v="0"/>
    <s v="Good"/>
    <x v="0"/>
    <x v="0"/>
    <x v="0"/>
    <s v="No"/>
    <s v="No"/>
    <s v="Yes"/>
    <n v="1"/>
    <x v="2"/>
    <x v="2"/>
  </r>
  <r>
    <x v="22"/>
    <n v="4"/>
    <n v="3"/>
    <n v="0"/>
    <x v="1"/>
    <x v="1"/>
    <s v="Poor"/>
    <x v="0"/>
    <x v="0"/>
    <x v="1"/>
    <s v="Yes"/>
    <s v="No"/>
    <s v="No"/>
    <n v="1"/>
    <x v="2"/>
    <x v="1"/>
  </r>
  <r>
    <x v="29"/>
    <n v="5"/>
    <n v="3"/>
    <n v="20"/>
    <x v="2"/>
    <x v="0"/>
    <s v="Good"/>
    <x v="0"/>
    <x v="1"/>
    <x v="0"/>
    <s v="No"/>
    <s v="Yes"/>
    <s v="No"/>
    <n v="1"/>
    <x v="2"/>
    <x v="1"/>
  </r>
  <r>
    <x v="27"/>
    <n v="4"/>
    <n v="2"/>
    <n v="0"/>
    <x v="0"/>
    <x v="1"/>
    <s v="Poor"/>
    <x v="0"/>
    <x v="1"/>
    <x v="0"/>
    <s v="Yes"/>
    <s v="Yes"/>
    <s v="Yes"/>
    <n v="1"/>
    <x v="2"/>
    <x v="2"/>
  </r>
  <r>
    <x v="6"/>
    <n v="4"/>
    <n v="1"/>
    <n v="14"/>
    <x v="3"/>
    <x v="0"/>
    <s v="Poor"/>
    <x v="0"/>
    <x v="0"/>
    <x v="1"/>
    <s v="No"/>
    <s v="No"/>
    <s v="No"/>
    <n v="0"/>
    <x v="0"/>
    <x v="2"/>
  </r>
  <r>
    <x v="21"/>
    <n v="3"/>
    <n v="7"/>
    <n v="11"/>
    <x v="6"/>
    <x v="1"/>
    <s v="Good"/>
    <x v="1"/>
    <x v="0"/>
    <x v="1"/>
    <s v="No"/>
    <s v="Yes"/>
    <s v="No"/>
    <n v="2"/>
    <x v="1"/>
    <x v="0"/>
  </r>
  <r>
    <x v="15"/>
    <n v="3"/>
    <n v="3"/>
    <n v="4"/>
    <x v="0"/>
    <x v="1"/>
    <s v="Poor"/>
    <x v="0"/>
    <x v="0"/>
    <x v="1"/>
    <s v="Yes"/>
    <s v="Yes"/>
    <s v="No"/>
    <n v="1"/>
    <x v="2"/>
    <x v="1"/>
  </r>
  <r>
    <x v="14"/>
    <n v="4"/>
    <n v="1"/>
    <n v="20"/>
    <x v="3"/>
    <x v="0"/>
    <s v="Poor"/>
    <x v="0"/>
    <x v="0"/>
    <x v="1"/>
    <s v="Yes"/>
    <s v="Yes"/>
    <s v="Yes"/>
    <n v="0"/>
    <x v="0"/>
    <x v="2"/>
  </r>
  <r>
    <x v="17"/>
    <n v="3"/>
    <n v="2"/>
    <n v="20"/>
    <x v="1"/>
    <x v="1"/>
    <s v="Good"/>
    <x v="1"/>
    <x v="0"/>
    <x v="0"/>
    <s v="Yes"/>
    <s v="No"/>
    <s v="No"/>
    <n v="2"/>
    <x v="1"/>
    <x v="2"/>
  </r>
  <r>
    <x v="36"/>
    <n v="1"/>
    <n v="3"/>
    <n v="8"/>
    <x v="5"/>
    <x v="1"/>
    <s v="Good"/>
    <x v="1"/>
    <x v="1"/>
    <x v="0"/>
    <s v="Yes"/>
    <s v="No"/>
    <s v="Yes"/>
    <n v="2"/>
    <x v="1"/>
    <x v="1"/>
  </r>
  <r>
    <x v="19"/>
    <n v="3"/>
    <n v="3"/>
    <n v="20"/>
    <x v="3"/>
    <x v="1"/>
    <s v="Good"/>
    <x v="0"/>
    <x v="0"/>
    <x v="1"/>
    <s v="No"/>
    <s v="Yes"/>
    <s v="No"/>
    <n v="2"/>
    <x v="1"/>
    <x v="1"/>
  </r>
  <r>
    <x v="42"/>
    <n v="1"/>
    <n v="3"/>
    <n v="12"/>
    <x v="4"/>
    <x v="0"/>
    <s v="Good"/>
    <x v="1"/>
    <x v="0"/>
    <x v="1"/>
    <s v="Yes"/>
    <s v="Yes"/>
    <s v="No"/>
    <n v="1"/>
    <x v="2"/>
    <x v="1"/>
  </r>
  <r>
    <x v="8"/>
    <n v="2"/>
    <n v="1"/>
    <n v="19"/>
    <x v="2"/>
    <x v="0"/>
    <s v="Poor"/>
    <x v="0"/>
    <x v="1"/>
    <x v="0"/>
    <s v="No"/>
    <s v="No"/>
    <s v="Yes"/>
    <n v="0"/>
    <x v="0"/>
    <x v="2"/>
  </r>
  <r>
    <x v="36"/>
    <n v="4"/>
    <n v="4"/>
    <n v="13"/>
    <x v="3"/>
    <x v="1"/>
    <s v="Poor"/>
    <x v="0"/>
    <x v="1"/>
    <x v="0"/>
    <s v="No"/>
    <s v="No"/>
    <s v="No"/>
    <n v="1"/>
    <x v="2"/>
    <x v="1"/>
  </r>
  <r>
    <x v="34"/>
    <n v="3"/>
    <n v="4"/>
    <n v="16"/>
    <x v="5"/>
    <x v="1"/>
    <s v="Poor"/>
    <x v="0"/>
    <x v="1"/>
    <x v="0"/>
    <s v="No"/>
    <s v="No"/>
    <s v="Yes"/>
    <n v="1"/>
    <x v="2"/>
    <x v="1"/>
  </r>
  <r>
    <x v="42"/>
    <n v="5"/>
    <n v="3"/>
    <n v="12"/>
    <x v="6"/>
    <x v="1"/>
    <s v="Good"/>
    <x v="1"/>
    <x v="0"/>
    <x v="1"/>
    <s v="Yes"/>
    <s v="No"/>
    <s v="Yes"/>
    <n v="2"/>
    <x v="1"/>
    <x v="1"/>
  </r>
  <r>
    <x v="2"/>
    <n v="5"/>
    <n v="4"/>
    <n v="10"/>
    <x v="0"/>
    <x v="1"/>
    <s v="Poor"/>
    <x v="0"/>
    <x v="0"/>
    <x v="1"/>
    <s v="Yes"/>
    <s v="No"/>
    <s v="No"/>
    <n v="1"/>
    <x v="2"/>
    <x v="1"/>
  </r>
  <r>
    <x v="11"/>
    <n v="3"/>
    <n v="3"/>
    <n v="10"/>
    <x v="0"/>
    <x v="0"/>
    <s v="Poor"/>
    <x v="0"/>
    <x v="0"/>
    <x v="1"/>
    <s v="No"/>
    <s v="Yes"/>
    <s v="Yes"/>
    <n v="0"/>
    <x v="0"/>
    <x v="1"/>
  </r>
  <r>
    <x v="30"/>
    <n v="3"/>
    <n v="6"/>
    <n v="20"/>
    <x v="0"/>
    <x v="1"/>
    <s v="Poor"/>
    <x v="0"/>
    <x v="1"/>
    <x v="0"/>
    <s v="Yes"/>
    <s v="No"/>
    <s v="No"/>
    <n v="1"/>
    <x v="2"/>
    <x v="0"/>
  </r>
  <r>
    <x v="37"/>
    <n v="1"/>
    <n v="4"/>
    <n v="1"/>
    <x v="3"/>
    <x v="1"/>
    <s v="Poor"/>
    <x v="0"/>
    <x v="1"/>
    <x v="1"/>
    <s v="No"/>
    <s v="Yes"/>
    <s v="Yes"/>
    <n v="1"/>
    <x v="2"/>
    <x v="1"/>
  </r>
  <r>
    <x v="38"/>
    <n v="1"/>
    <n v="3"/>
    <n v="1"/>
    <x v="1"/>
    <x v="0"/>
    <s v="Good"/>
    <x v="0"/>
    <x v="0"/>
    <x v="1"/>
    <s v="No"/>
    <s v="Yes"/>
    <s v="No"/>
    <n v="1"/>
    <x v="2"/>
    <x v="1"/>
  </r>
  <r>
    <x v="41"/>
    <n v="3"/>
    <n v="2"/>
    <n v="9"/>
    <x v="6"/>
    <x v="1"/>
    <s v="Good"/>
    <x v="0"/>
    <x v="1"/>
    <x v="0"/>
    <s v="Yes"/>
    <s v="Yes"/>
    <s v="No"/>
    <n v="2"/>
    <x v="1"/>
    <x v="2"/>
  </r>
  <r>
    <x v="39"/>
    <n v="3"/>
    <n v="7"/>
    <n v="17"/>
    <x v="2"/>
    <x v="1"/>
    <s v="Good"/>
    <x v="1"/>
    <x v="0"/>
    <x v="1"/>
    <s v="No"/>
    <s v="No"/>
    <s v="No"/>
    <n v="2"/>
    <x v="1"/>
    <x v="0"/>
  </r>
  <r>
    <x v="21"/>
    <n v="5"/>
    <n v="6"/>
    <n v="19"/>
    <x v="0"/>
    <x v="1"/>
    <s v="Poor"/>
    <x v="0"/>
    <x v="0"/>
    <x v="1"/>
    <s v="No"/>
    <s v="Yes"/>
    <s v="No"/>
    <n v="1"/>
    <x v="2"/>
    <x v="0"/>
  </r>
  <r>
    <x v="28"/>
    <n v="1"/>
    <n v="2"/>
    <n v="12"/>
    <x v="4"/>
    <x v="1"/>
    <s v="Good"/>
    <x v="1"/>
    <x v="1"/>
    <x v="1"/>
    <s v="Yes"/>
    <s v="Yes"/>
    <s v="No"/>
    <n v="2"/>
    <x v="1"/>
    <x v="2"/>
  </r>
  <r>
    <x v="22"/>
    <n v="5"/>
    <n v="3"/>
    <n v="17"/>
    <x v="1"/>
    <x v="0"/>
    <s v="Good"/>
    <x v="0"/>
    <x v="1"/>
    <x v="0"/>
    <s v="No"/>
    <s v="No"/>
    <s v="No"/>
    <n v="1"/>
    <x v="2"/>
    <x v="1"/>
  </r>
  <r>
    <x v="0"/>
    <n v="3"/>
    <n v="7"/>
    <n v="6"/>
    <x v="6"/>
    <x v="1"/>
    <s v="Poor"/>
    <x v="1"/>
    <x v="1"/>
    <x v="1"/>
    <s v="Yes"/>
    <s v="Yes"/>
    <s v="Yes"/>
    <n v="1"/>
    <x v="2"/>
    <x v="0"/>
  </r>
  <r>
    <x v="22"/>
    <n v="2"/>
    <n v="2"/>
    <n v="5"/>
    <x v="6"/>
    <x v="1"/>
    <s v="Poor"/>
    <x v="0"/>
    <x v="0"/>
    <x v="0"/>
    <s v="No"/>
    <s v="No"/>
    <s v="Yes"/>
    <n v="1"/>
    <x v="2"/>
    <x v="2"/>
  </r>
  <r>
    <x v="32"/>
    <n v="5"/>
    <n v="4"/>
    <n v="7"/>
    <x v="2"/>
    <x v="1"/>
    <s v="Good"/>
    <x v="0"/>
    <x v="1"/>
    <x v="0"/>
    <s v="Yes"/>
    <s v="No"/>
    <s v="No"/>
    <n v="2"/>
    <x v="1"/>
    <x v="1"/>
  </r>
  <r>
    <x v="32"/>
    <n v="1"/>
    <n v="3"/>
    <n v="5"/>
    <x v="2"/>
    <x v="0"/>
    <s v="Poor"/>
    <x v="0"/>
    <x v="1"/>
    <x v="0"/>
    <s v="No"/>
    <s v="Yes"/>
    <s v="No"/>
    <n v="0"/>
    <x v="0"/>
    <x v="1"/>
  </r>
  <r>
    <x v="32"/>
    <n v="4"/>
    <n v="5"/>
    <n v="4"/>
    <x v="5"/>
    <x v="1"/>
    <s v="Poor"/>
    <x v="1"/>
    <x v="0"/>
    <x v="1"/>
    <s v="Yes"/>
    <s v="Yes"/>
    <s v="No"/>
    <n v="1"/>
    <x v="2"/>
    <x v="0"/>
  </r>
  <r>
    <x v="33"/>
    <n v="2"/>
    <n v="6"/>
    <n v="14"/>
    <x v="5"/>
    <x v="1"/>
    <s v="Good"/>
    <x v="1"/>
    <x v="0"/>
    <x v="0"/>
    <s v="Yes"/>
    <s v="Yes"/>
    <s v="No"/>
    <n v="2"/>
    <x v="1"/>
    <x v="0"/>
  </r>
  <r>
    <x v="32"/>
    <n v="4"/>
    <n v="2"/>
    <n v="15"/>
    <x v="4"/>
    <x v="0"/>
    <s v="Poor"/>
    <x v="0"/>
    <x v="0"/>
    <x v="1"/>
    <s v="No"/>
    <s v="No"/>
    <s v="No"/>
    <n v="0"/>
    <x v="0"/>
    <x v="2"/>
  </r>
  <r>
    <x v="21"/>
    <n v="5"/>
    <n v="1"/>
    <n v="3"/>
    <x v="0"/>
    <x v="1"/>
    <s v="Poor"/>
    <x v="0"/>
    <x v="0"/>
    <x v="0"/>
    <s v="No"/>
    <s v="No"/>
    <s v="No"/>
    <n v="1"/>
    <x v="2"/>
    <x v="2"/>
  </r>
  <r>
    <x v="10"/>
    <n v="2"/>
    <n v="2"/>
    <n v="8"/>
    <x v="1"/>
    <x v="0"/>
    <s v="Good"/>
    <x v="1"/>
    <x v="1"/>
    <x v="1"/>
    <s v="Yes"/>
    <s v="No"/>
    <s v="No"/>
    <n v="1"/>
    <x v="2"/>
    <x v="2"/>
  </r>
  <r>
    <x v="40"/>
    <n v="1"/>
    <n v="6"/>
    <n v="3"/>
    <x v="3"/>
    <x v="1"/>
    <s v="Poor"/>
    <x v="0"/>
    <x v="1"/>
    <x v="0"/>
    <s v="Yes"/>
    <s v="Yes"/>
    <s v="Yes"/>
    <n v="1"/>
    <x v="2"/>
    <x v="0"/>
  </r>
  <r>
    <x v="17"/>
    <n v="1"/>
    <n v="1"/>
    <n v="13"/>
    <x v="1"/>
    <x v="0"/>
    <s v="Poor"/>
    <x v="0"/>
    <x v="1"/>
    <x v="1"/>
    <s v="No"/>
    <s v="No"/>
    <s v="Yes"/>
    <n v="0"/>
    <x v="0"/>
    <x v="2"/>
  </r>
  <r>
    <x v="0"/>
    <n v="1"/>
    <n v="3"/>
    <n v="16"/>
    <x v="3"/>
    <x v="1"/>
    <s v="Poor"/>
    <x v="0"/>
    <x v="0"/>
    <x v="0"/>
    <s v="Yes"/>
    <s v="Yes"/>
    <s v="No"/>
    <n v="1"/>
    <x v="2"/>
    <x v="1"/>
  </r>
  <r>
    <x v="24"/>
    <n v="2"/>
    <n v="1"/>
    <n v="13"/>
    <x v="5"/>
    <x v="1"/>
    <s v="Poor"/>
    <x v="0"/>
    <x v="1"/>
    <x v="1"/>
    <s v="No"/>
    <s v="No"/>
    <s v="No"/>
    <n v="1"/>
    <x v="2"/>
    <x v="2"/>
  </r>
  <r>
    <x v="22"/>
    <n v="5"/>
    <n v="7"/>
    <n v="16"/>
    <x v="4"/>
    <x v="0"/>
    <s v="Good"/>
    <x v="1"/>
    <x v="1"/>
    <x v="0"/>
    <s v="Yes"/>
    <s v="Yes"/>
    <s v="Yes"/>
    <n v="1"/>
    <x v="2"/>
    <x v="0"/>
  </r>
  <r>
    <x v="32"/>
    <n v="4"/>
    <n v="6"/>
    <n v="19"/>
    <x v="1"/>
    <x v="0"/>
    <s v="Poor"/>
    <x v="1"/>
    <x v="0"/>
    <x v="1"/>
    <s v="Yes"/>
    <s v="Yes"/>
    <s v="Yes"/>
    <n v="0"/>
    <x v="0"/>
    <x v="0"/>
  </r>
  <r>
    <x v="6"/>
    <n v="5"/>
    <n v="6"/>
    <n v="7"/>
    <x v="4"/>
    <x v="0"/>
    <s v="Poor"/>
    <x v="0"/>
    <x v="0"/>
    <x v="0"/>
    <s v="No"/>
    <s v="No"/>
    <s v="No"/>
    <n v="0"/>
    <x v="0"/>
    <x v="0"/>
  </r>
  <r>
    <x v="31"/>
    <n v="5"/>
    <n v="1"/>
    <n v="20"/>
    <x v="5"/>
    <x v="1"/>
    <s v="Good"/>
    <x v="1"/>
    <x v="1"/>
    <x v="1"/>
    <s v="Yes"/>
    <s v="No"/>
    <s v="Yes"/>
    <n v="2"/>
    <x v="1"/>
    <x v="2"/>
  </r>
  <r>
    <x v="34"/>
    <n v="1"/>
    <n v="3"/>
    <n v="15"/>
    <x v="3"/>
    <x v="0"/>
    <s v="Poor"/>
    <x v="0"/>
    <x v="1"/>
    <x v="0"/>
    <s v="No"/>
    <s v="Yes"/>
    <s v="Yes"/>
    <n v="0"/>
    <x v="0"/>
    <x v="1"/>
  </r>
  <r>
    <x v="12"/>
    <n v="1"/>
    <n v="4"/>
    <n v="1"/>
    <x v="4"/>
    <x v="0"/>
    <s v="Good"/>
    <x v="0"/>
    <x v="1"/>
    <x v="0"/>
    <s v="Yes"/>
    <s v="No"/>
    <s v="Yes"/>
    <n v="1"/>
    <x v="2"/>
    <x v="1"/>
  </r>
  <r>
    <x v="29"/>
    <n v="2"/>
    <n v="2"/>
    <n v="8"/>
    <x v="2"/>
    <x v="1"/>
    <s v="Poor"/>
    <x v="0"/>
    <x v="1"/>
    <x v="0"/>
    <s v="Yes"/>
    <s v="Yes"/>
    <s v="No"/>
    <n v="1"/>
    <x v="2"/>
    <x v="2"/>
  </r>
  <r>
    <x v="33"/>
    <n v="3"/>
    <n v="7"/>
    <n v="7"/>
    <x v="3"/>
    <x v="1"/>
    <s v="Poor"/>
    <x v="0"/>
    <x v="0"/>
    <x v="0"/>
    <s v="Yes"/>
    <s v="Yes"/>
    <s v="Yes"/>
    <n v="1"/>
    <x v="2"/>
    <x v="0"/>
  </r>
  <r>
    <x v="18"/>
    <n v="5"/>
    <n v="7"/>
    <n v="0"/>
    <x v="0"/>
    <x v="0"/>
    <s v="Good"/>
    <x v="0"/>
    <x v="1"/>
    <x v="0"/>
    <s v="Yes"/>
    <s v="Yes"/>
    <s v="Yes"/>
    <n v="1"/>
    <x v="2"/>
    <x v="0"/>
  </r>
  <r>
    <x v="40"/>
    <n v="1"/>
    <n v="5"/>
    <n v="1"/>
    <x v="1"/>
    <x v="1"/>
    <s v="Poor"/>
    <x v="1"/>
    <x v="1"/>
    <x v="1"/>
    <s v="Yes"/>
    <s v="No"/>
    <s v="No"/>
    <n v="1"/>
    <x v="2"/>
    <x v="0"/>
  </r>
  <r>
    <x v="9"/>
    <n v="5"/>
    <n v="7"/>
    <n v="2"/>
    <x v="4"/>
    <x v="0"/>
    <s v="Poor"/>
    <x v="0"/>
    <x v="0"/>
    <x v="1"/>
    <s v="No"/>
    <s v="No"/>
    <s v="No"/>
    <n v="0"/>
    <x v="0"/>
    <x v="0"/>
  </r>
  <r>
    <x v="12"/>
    <n v="2"/>
    <n v="6"/>
    <n v="5"/>
    <x v="4"/>
    <x v="0"/>
    <s v="Poor"/>
    <x v="0"/>
    <x v="1"/>
    <x v="0"/>
    <s v="No"/>
    <s v="Yes"/>
    <s v="Yes"/>
    <n v="0"/>
    <x v="0"/>
    <x v="0"/>
  </r>
  <r>
    <x v="2"/>
    <n v="4"/>
    <n v="5"/>
    <n v="12"/>
    <x v="0"/>
    <x v="0"/>
    <s v="Good"/>
    <x v="0"/>
    <x v="0"/>
    <x v="0"/>
    <s v="Yes"/>
    <s v="No"/>
    <s v="Yes"/>
    <n v="1"/>
    <x v="2"/>
    <x v="0"/>
  </r>
  <r>
    <x v="4"/>
    <n v="5"/>
    <n v="7"/>
    <n v="1"/>
    <x v="4"/>
    <x v="1"/>
    <s v="Good"/>
    <x v="1"/>
    <x v="0"/>
    <x v="1"/>
    <s v="Yes"/>
    <s v="Yes"/>
    <s v="No"/>
    <n v="2"/>
    <x v="1"/>
    <x v="0"/>
  </r>
  <r>
    <x v="11"/>
    <n v="2"/>
    <n v="4"/>
    <n v="19"/>
    <x v="1"/>
    <x v="1"/>
    <s v="Poor"/>
    <x v="0"/>
    <x v="0"/>
    <x v="0"/>
    <s v="Yes"/>
    <s v="Yes"/>
    <s v="No"/>
    <n v="1"/>
    <x v="2"/>
    <x v="1"/>
  </r>
  <r>
    <x v="32"/>
    <n v="5"/>
    <n v="7"/>
    <n v="13"/>
    <x v="2"/>
    <x v="1"/>
    <s v="Good"/>
    <x v="0"/>
    <x v="0"/>
    <x v="0"/>
    <s v="No"/>
    <s v="No"/>
    <s v="Yes"/>
    <n v="2"/>
    <x v="1"/>
    <x v="0"/>
  </r>
  <r>
    <x v="27"/>
    <n v="3"/>
    <n v="5"/>
    <n v="2"/>
    <x v="6"/>
    <x v="1"/>
    <s v="Good"/>
    <x v="0"/>
    <x v="0"/>
    <x v="0"/>
    <s v="Yes"/>
    <s v="No"/>
    <s v="No"/>
    <n v="2"/>
    <x v="1"/>
    <x v="0"/>
  </r>
  <r>
    <x v="34"/>
    <n v="2"/>
    <n v="3"/>
    <n v="6"/>
    <x v="3"/>
    <x v="1"/>
    <s v="Poor"/>
    <x v="0"/>
    <x v="1"/>
    <x v="0"/>
    <s v="Yes"/>
    <s v="Yes"/>
    <s v="Yes"/>
    <n v="1"/>
    <x v="2"/>
    <x v="1"/>
  </r>
  <r>
    <x v="39"/>
    <n v="2"/>
    <n v="2"/>
    <n v="10"/>
    <x v="5"/>
    <x v="0"/>
    <s v="Poor"/>
    <x v="0"/>
    <x v="1"/>
    <x v="0"/>
    <s v="Yes"/>
    <s v="Yes"/>
    <s v="Yes"/>
    <n v="0"/>
    <x v="0"/>
    <x v="2"/>
  </r>
  <r>
    <x v="17"/>
    <n v="5"/>
    <n v="5"/>
    <n v="12"/>
    <x v="2"/>
    <x v="0"/>
    <s v="Good"/>
    <x v="0"/>
    <x v="1"/>
    <x v="0"/>
    <s v="Yes"/>
    <s v="Yes"/>
    <s v="Yes"/>
    <n v="1"/>
    <x v="2"/>
    <x v="0"/>
  </r>
  <r>
    <x v="22"/>
    <n v="3"/>
    <n v="7"/>
    <n v="5"/>
    <x v="5"/>
    <x v="0"/>
    <s v="Good"/>
    <x v="0"/>
    <x v="1"/>
    <x v="0"/>
    <s v="Yes"/>
    <s v="No"/>
    <s v="Yes"/>
    <n v="1"/>
    <x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7A99D57-5358-9D43-9C58-6DB0454E6FD6}"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rowHeaderCaption="Financial Score Category">
  <location ref="B11:C15" firstHeaderRow="1" firstDataRow="1" firstDataCol="1"/>
  <pivotFields count="16">
    <pivotField showAll="0"/>
    <pivotField showAll="0"/>
    <pivotField showAll="0"/>
    <pivotField showAll="0"/>
    <pivotField showAll="0"/>
    <pivotField showAll="0"/>
    <pivotField showAll="0"/>
    <pivotField dataField="1" showAll="0">
      <items count="3">
        <item x="0"/>
        <item x="1"/>
        <item t="default"/>
      </items>
    </pivotField>
    <pivotField showAll="0">
      <items count="3">
        <item x="1"/>
        <item x="0"/>
        <item t="default"/>
      </items>
    </pivotField>
    <pivotField showAll="0">
      <items count="3">
        <item x="0"/>
        <item x="1"/>
        <item t="default"/>
      </items>
    </pivotField>
    <pivotField showAll="0"/>
    <pivotField showAll="0"/>
    <pivotField showAll="0"/>
    <pivotField showAll="0"/>
    <pivotField axis="axisRow" showAll="0">
      <items count="4">
        <item x="1"/>
        <item x="2"/>
        <item x="0"/>
        <item t="default"/>
      </items>
    </pivotField>
    <pivotField showAll="0">
      <items count="4">
        <item x="0"/>
        <item x="2"/>
        <item x="1"/>
        <item t="default"/>
      </items>
    </pivotField>
  </pivotFields>
  <rowFields count="1">
    <field x="14"/>
  </rowFields>
  <rowItems count="4">
    <i>
      <x/>
    </i>
    <i>
      <x v="1"/>
    </i>
    <i>
      <x v="2"/>
    </i>
    <i t="grand">
      <x/>
    </i>
  </rowItems>
  <colItems count="1">
    <i/>
  </colItems>
  <dataFields count="1">
    <dataField name="Count of Success Label" fld="7" subtotal="count" showDataAs="percentOfCol" baseField="0" baseItem="0" numFmtId="10"/>
  </dataFields>
  <chartFormats count="2">
    <chartFormat chart="0"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E79B42B-EDAF-4748-BB3F-004E1D6B4747}"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6" rowHeaderCaption="Professional Advice" colHeaderCaption="Internet Usage Label">
  <location ref="E20:G28" firstHeaderRow="0" firstDataRow="1" firstDataCol="1"/>
  <pivotFields count="16">
    <pivotField showAll="0"/>
    <pivotField showAll="0"/>
    <pivotField showAll="0"/>
    <pivotField showAll="0"/>
    <pivotField axis="axisRow" showAll="0">
      <items count="8">
        <item x="3"/>
        <item x="2"/>
        <item x="0"/>
        <item x="6"/>
        <item x="5"/>
        <item x="4"/>
        <item x="1"/>
        <item t="default"/>
      </items>
    </pivotField>
    <pivotField showAll="0">
      <items count="3">
        <item x="1"/>
        <item x="0"/>
        <item t="default"/>
      </items>
    </pivotField>
    <pivotField showAll="0"/>
    <pivotField dataField="1" showAll="0">
      <items count="3">
        <item x="0"/>
        <item x="1"/>
        <item t="default"/>
      </items>
    </pivotField>
    <pivotField showAll="0">
      <items count="3">
        <item x="1"/>
        <item x="0"/>
        <item t="default"/>
      </items>
    </pivotField>
    <pivotField showAll="0">
      <items count="3">
        <item x="0"/>
        <item x="1"/>
        <item t="default"/>
      </items>
    </pivotField>
    <pivotField showAll="0"/>
    <pivotField showAll="0"/>
    <pivotField showAll="0"/>
    <pivotField dataField="1" showAll="0"/>
    <pivotField showAll="0">
      <items count="4">
        <item x="1"/>
        <item x="2"/>
        <item x="0"/>
        <item t="default"/>
      </items>
    </pivotField>
    <pivotField showAll="0">
      <items count="4">
        <item x="0"/>
        <item x="1"/>
        <item x="2"/>
        <item t="default"/>
      </items>
    </pivotField>
  </pivotFields>
  <rowFields count="1">
    <field x="4"/>
  </rowFields>
  <rowItems count="8">
    <i>
      <x/>
    </i>
    <i>
      <x v="1"/>
    </i>
    <i>
      <x v="2"/>
    </i>
    <i>
      <x v="3"/>
    </i>
    <i>
      <x v="4"/>
    </i>
    <i>
      <x v="5"/>
    </i>
    <i>
      <x v="6"/>
    </i>
    <i t="grand">
      <x/>
    </i>
  </rowItems>
  <colFields count="1">
    <field x="-2"/>
  </colFields>
  <colItems count="2">
    <i>
      <x/>
    </i>
    <i i="1">
      <x v="1"/>
    </i>
  </colItems>
  <dataFields count="2">
    <dataField name="Count of Success Label" fld="7" subtotal="count" showDataAs="percentOfCol" baseField="0" baseItem="0" numFmtId="10"/>
    <dataField name="Avg of Financial Score" fld="13" subtotal="average" baseField="0" baseItem="0" numFmtId="2"/>
  </dataFields>
  <chartFormats count="2">
    <chartFormat chart="39" format="4" series="1">
      <pivotArea type="data" outline="0" fieldPosition="0">
        <references count="1">
          <reference field="4294967294" count="1" selected="0">
            <x v="0"/>
          </reference>
        </references>
      </pivotArea>
    </chartFormat>
    <chartFormat chart="3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2923A68-00EF-834C-B1BA-A1C4FD377EE2}"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rowHeaderCaption="Initial Capital Label" colHeaderCaption="Internet Usage Label">
  <location ref="E13:G16" firstHeaderRow="0" firstDataRow="1" firstDataCol="1"/>
  <pivotFields count="16">
    <pivotField dataField="1" showAll="0"/>
    <pivotField showAll="0"/>
    <pivotField showAll="0"/>
    <pivotField dataField="1" showAll="0"/>
    <pivotField showAll="0"/>
    <pivotField axis="axisRow" showAll="0">
      <items count="3">
        <item x="1"/>
        <item x="0"/>
        <item t="default"/>
      </items>
    </pivotField>
    <pivotField showAll="0"/>
    <pivotField showAll="0">
      <items count="3">
        <item x="0"/>
        <item x="1"/>
        <item t="default"/>
      </items>
    </pivotField>
    <pivotField showAll="0">
      <items count="3">
        <item x="1"/>
        <item x="0"/>
        <item t="default"/>
      </items>
    </pivotField>
    <pivotField showAll="0">
      <items count="3">
        <item x="0"/>
        <item x="1"/>
        <item t="default"/>
      </items>
    </pivotField>
    <pivotField showAll="0"/>
    <pivotField showAll="0"/>
    <pivotField showAll="0"/>
    <pivotField showAll="0"/>
    <pivotField showAll="0">
      <items count="4">
        <item x="1"/>
        <item x="2"/>
        <item x="0"/>
        <item t="default"/>
      </items>
    </pivotField>
    <pivotField showAll="0">
      <items count="4">
        <item x="0"/>
        <item x="1"/>
        <item x="2"/>
        <item t="default"/>
      </items>
    </pivotField>
  </pivotFields>
  <rowFields count="1">
    <field x="5"/>
  </rowFields>
  <rowItems count="3">
    <i>
      <x/>
    </i>
    <i>
      <x v="1"/>
    </i>
    <i t="grand">
      <x/>
    </i>
  </rowItems>
  <colFields count="1">
    <field x="-2"/>
  </colFields>
  <colItems count="2">
    <i>
      <x/>
    </i>
    <i i="1">
      <x v="1"/>
    </i>
  </colItems>
  <dataFields count="2">
    <dataField name="Avg of Age" fld="0" subtotal="average" baseField="0" baseItem="0" numFmtId="2"/>
    <dataField name="Avg of industry Experience" fld="3" subtotal="average" baseField="0" baseItem="0" numFmtId="2"/>
  </dataFields>
  <chartFormats count="2">
    <chartFormat chart="30" format="5" series="1">
      <pivotArea type="data" outline="0" fieldPosition="0">
        <references count="1">
          <reference field="4294967294" count="1" selected="0">
            <x v="0"/>
          </reference>
        </references>
      </pivotArea>
    </chartFormat>
    <chartFormat chart="30"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F70C8E6-B555-8145-A637-DCA78F20386B}"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Success Labels">
  <location ref="B4:C7" firstHeaderRow="1" firstDataRow="1" firstDataCol="1"/>
  <pivotFields count="16">
    <pivotField showAll="0"/>
    <pivotField showAll="0"/>
    <pivotField showAll="0"/>
    <pivotField showAll="0"/>
    <pivotField showAll="0"/>
    <pivotField showAll="0"/>
    <pivotField showAll="0"/>
    <pivotField axis="axisRow" dataField="1" showAll="0">
      <items count="3">
        <item x="0"/>
        <item x="1"/>
        <item t="default"/>
      </items>
    </pivotField>
    <pivotField showAll="0">
      <items count="3">
        <item x="1"/>
        <item x="0"/>
        <item t="default"/>
      </items>
    </pivotField>
    <pivotField showAll="0">
      <items count="3">
        <item x="0"/>
        <item x="1"/>
        <item t="default"/>
      </items>
    </pivotField>
    <pivotField showAll="0"/>
    <pivotField showAll="0"/>
    <pivotField showAll="0"/>
    <pivotField showAll="0"/>
    <pivotField showAll="0">
      <items count="4">
        <item x="2"/>
        <item x="1"/>
        <item x="0"/>
        <item t="default"/>
      </items>
    </pivotField>
    <pivotField showAll="0">
      <items count="4">
        <item x="0"/>
        <item x="2"/>
        <item x="1"/>
        <item t="default"/>
      </items>
    </pivotField>
  </pivotFields>
  <rowFields count="1">
    <field x="7"/>
  </rowFields>
  <rowItems count="3">
    <i>
      <x/>
    </i>
    <i>
      <x v="1"/>
    </i>
    <i t="grand">
      <x/>
    </i>
  </rowItems>
  <colItems count="1">
    <i/>
  </colItems>
  <dataFields count="1">
    <dataField name="Count of Succes Label" fld="7"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DACA819-642A-1F4A-8AC3-F9715D606C5E}"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rowHeaderCaption="Marketing Effort Category" colHeaderCaption="Internet Usage Label">
  <location ref="E4:H9" firstHeaderRow="1" firstDataRow="2" firstDataCol="1"/>
  <pivotFields count="16">
    <pivotField showAll="0"/>
    <pivotField showAll="0"/>
    <pivotField showAll="0"/>
    <pivotField showAll="0"/>
    <pivotField showAll="0"/>
    <pivotField showAll="0"/>
    <pivotField showAll="0"/>
    <pivotField dataField="1" showAll="0">
      <items count="3">
        <item x="0"/>
        <item x="1"/>
        <item t="default"/>
      </items>
    </pivotField>
    <pivotField showAll="0">
      <items count="3">
        <item x="1"/>
        <item x="0"/>
        <item t="default"/>
      </items>
    </pivotField>
    <pivotField axis="axisCol" showAll="0">
      <items count="3">
        <item x="0"/>
        <item x="1"/>
        <item t="default"/>
      </items>
    </pivotField>
    <pivotField showAll="0"/>
    <pivotField showAll="0"/>
    <pivotField showAll="0"/>
    <pivotField showAll="0"/>
    <pivotField showAll="0">
      <items count="4">
        <item x="1"/>
        <item x="2"/>
        <item x="0"/>
        <item t="default"/>
      </items>
    </pivotField>
    <pivotField axis="axisRow" showAll="0">
      <items count="4">
        <item x="0"/>
        <item x="1"/>
        <item x="2"/>
        <item t="default"/>
      </items>
    </pivotField>
  </pivotFields>
  <rowFields count="1">
    <field x="15"/>
  </rowFields>
  <rowItems count="4">
    <i>
      <x/>
    </i>
    <i>
      <x v="1"/>
    </i>
    <i>
      <x v="2"/>
    </i>
    <i t="grand">
      <x/>
    </i>
  </rowItems>
  <colFields count="1">
    <field x="9"/>
  </colFields>
  <colItems count="3">
    <i>
      <x/>
    </i>
    <i>
      <x v="1"/>
    </i>
    <i t="grand">
      <x/>
    </i>
  </colItems>
  <dataFields count="1">
    <dataField name="Count of Success Label" fld="7" subtotal="count" showDataAs="percentOfCol" baseField="0" baseItem="0" numFmtId="10"/>
  </dataFields>
  <chartFormats count="7">
    <chartFormat chart="8"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1" format="1">
      <pivotArea type="data" outline="0" fieldPosition="0">
        <references count="2">
          <reference field="4294967294" count="1" selected="0">
            <x v="0"/>
          </reference>
          <reference field="15" count="1" selected="0">
            <x v="1"/>
          </reference>
        </references>
      </pivotArea>
    </chartFormat>
    <chartFormat chart="11" format="2">
      <pivotArea type="data" outline="0" fieldPosition="0">
        <references count="2">
          <reference field="4294967294" count="1" selected="0">
            <x v="0"/>
          </reference>
          <reference field="15" count="1" selected="0">
            <x v="2"/>
          </reference>
        </references>
      </pivotArea>
    </chartFormat>
    <chartFormat chart="11" format="3">
      <pivotArea type="data" outline="0" fieldPosition="0">
        <references count="2">
          <reference field="4294967294" count="1" selected="0">
            <x v="0"/>
          </reference>
          <reference field="15" count="1" selected="0">
            <x v="0"/>
          </reference>
        </references>
      </pivotArea>
    </chartFormat>
    <chartFormat chart="22" format="4" series="1">
      <pivotArea type="data" outline="0" fieldPosition="0">
        <references count="2">
          <reference field="4294967294" count="1" selected="0">
            <x v="0"/>
          </reference>
          <reference field="9" count="1" selected="0">
            <x v="0"/>
          </reference>
        </references>
      </pivotArea>
    </chartFormat>
    <chartFormat chart="22" format="5"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7E02810-FB78-0F41-B1AA-0E06B828B0F9}"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rowHeaderCaption="Marketing Effort Category">
  <location ref="B26:C30" firstHeaderRow="1" firstDataRow="1" firstDataCol="1"/>
  <pivotFields count="16">
    <pivotField showAll="0">
      <items count="44">
        <item x="11"/>
        <item x="5"/>
        <item x="3"/>
        <item x="2"/>
        <item x="31"/>
        <item x="18"/>
        <item x="35"/>
        <item x="14"/>
        <item x="17"/>
        <item x="10"/>
        <item x="21"/>
        <item x="7"/>
        <item x="19"/>
        <item x="8"/>
        <item x="24"/>
        <item x="25"/>
        <item x="32"/>
        <item x="4"/>
        <item x="27"/>
        <item x="28"/>
        <item x="39"/>
        <item x="38"/>
        <item x="41"/>
        <item x="37"/>
        <item x="9"/>
        <item x="16"/>
        <item x="34"/>
        <item x="36"/>
        <item x="6"/>
        <item x="29"/>
        <item x="33"/>
        <item x="23"/>
        <item x="30"/>
        <item x="1"/>
        <item x="42"/>
        <item x="12"/>
        <item x="40"/>
        <item x="20"/>
        <item x="13"/>
        <item x="15"/>
        <item x="26"/>
        <item x="22"/>
        <item x="0"/>
        <item t="default"/>
      </items>
    </pivotField>
    <pivotField showAll="0"/>
    <pivotField showAll="0"/>
    <pivotField showAll="0"/>
    <pivotField showAll="0"/>
    <pivotField showAll="0"/>
    <pivotField showAll="0"/>
    <pivotField dataField="1" showAll="0">
      <items count="3">
        <item x="0"/>
        <item x="1"/>
        <item t="default"/>
      </items>
    </pivotField>
    <pivotField showAll="0">
      <items count="3">
        <item x="1"/>
        <item x="0"/>
        <item t="default"/>
      </items>
    </pivotField>
    <pivotField showAll="0">
      <items count="3">
        <item x="0"/>
        <item x="1"/>
        <item t="default"/>
      </items>
    </pivotField>
    <pivotField showAll="0"/>
    <pivotField showAll="0"/>
    <pivotField showAll="0"/>
    <pivotField showAll="0"/>
    <pivotField showAll="0">
      <items count="4">
        <item x="1"/>
        <item x="2"/>
        <item x="0"/>
        <item t="default"/>
      </items>
    </pivotField>
    <pivotField axis="axisRow" showAll="0">
      <items count="4">
        <item x="0"/>
        <item x="1"/>
        <item x="2"/>
        <item t="default"/>
      </items>
    </pivotField>
  </pivotFields>
  <rowFields count="1">
    <field x="15"/>
  </rowFields>
  <rowItems count="4">
    <i>
      <x/>
    </i>
    <i>
      <x v="1"/>
    </i>
    <i>
      <x v="2"/>
    </i>
    <i t="grand">
      <x/>
    </i>
  </rowItems>
  <colItems count="1">
    <i/>
  </colItems>
  <dataFields count="1">
    <dataField name="Count of Success Label" fld="7" subtotal="count" showDataAs="percentOfCol" baseField="0" baseItem="0" numFmtId="10"/>
  </dataFields>
  <chartFormats count="5">
    <chartFormat chart="8" format="0" series="1">
      <pivotArea type="data" outline="0" fieldPosition="0">
        <references count="1">
          <reference field="4294967294" count="1" selected="0">
            <x v="0"/>
          </reference>
        </references>
      </pivotArea>
    </chartFormat>
    <chartFormat chart="18" format="8" series="1">
      <pivotArea type="data" outline="0" fieldPosition="0">
        <references count="1">
          <reference field="4294967294" count="1" selected="0">
            <x v="0"/>
          </reference>
        </references>
      </pivotArea>
    </chartFormat>
    <chartFormat chart="18" format="9">
      <pivotArea type="data" outline="0" fieldPosition="0">
        <references count="2">
          <reference field="4294967294" count="1" selected="0">
            <x v="0"/>
          </reference>
          <reference field="15" count="1" selected="0">
            <x v="0"/>
          </reference>
        </references>
      </pivotArea>
    </chartFormat>
    <chartFormat chart="18" format="10">
      <pivotArea type="data" outline="0" fieldPosition="0">
        <references count="2">
          <reference field="4294967294" count="1" selected="0">
            <x v="0"/>
          </reference>
          <reference field="15" count="1" selected="0">
            <x v="1"/>
          </reference>
        </references>
      </pivotArea>
    </chartFormat>
    <chartFormat chart="18" format="11">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8189404-AFB9-7B4D-BB8B-94B5BF07C9D8}"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Gender Label">
  <location ref="B19:C22" firstHeaderRow="1" firstDataRow="1" firstDataCol="1"/>
  <pivotFields count="16">
    <pivotField showAll="0"/>
    <pivotField showAll="0"/>
    <pivotField showAll="0"/>
    <pivotField showAll="0"/>
    <pivotField showAll="0"/>
    <pivotField showAll="0"/>
    <pivotField showAll="0"/>
    <pivotField dataField="1" showAll="0">
      <items count="3">
        <item x="0"/>
        <item x="1"/>
        <item t="default"/>
      </items>
    </pivotField>
    <pivotField axis="axisRow" showAll="0">
      <items count="3">
        <item x="1"/>
        <item x="0"/>
        <item t="default"/>
      </items>
    </pivotField>
    <pivotField showAll="0">
      <items count="3">
        <item x="0"/>
        <item x="1"/>
        <item t="default"/>
      </items>
    </pivotField>
    <pivotField showAll="0"/>
    <pivotField showAll="0"/>
    <pivotField showAll="0"/>
    <pivotField showAll="0"/>
    <pivotField showAll="0">
      <items count="4">
        <item x="1"/>
        <item x="2"/>
        <item x="0"/>
        <item t="default"/>
      </items>
    </pivotField>
    <pivotField showAll="0">
      <items count="4">
        <item x="0"/>
        <item x="2"/>
        <item x="1"/>
        <item t="default"/>
      </items>
    </pivotField>
  </pivotFields>
  <rowFields count="1">
    <field x="8"/>
  </rowFields>
  <rowItems count="3">
    <i>
      <x/>
    </i>
    <i>
      <x v="1"/>
    </i>
    <i t="grand">
      <x/>
    </i>
  </rowItems>
  <colItems count="1">
    <i/>
  </colItems>
  <dataFields count="1">
    <dataField name="Count of Success Label" fld="7" subtotal="count" showDataAs="percentOfCol" baseField="0" baseItem="0" numFmtId="10"/>
  </dataFields>
  <chartFormats count="3">
    <chartFormat chart="12" format="6"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8" count="1" selected="0">
            <x v="0"/>
          </reference>
        </references>
      </pivotArea>
    </chartFormat>
    <chartFormat chart="12" format="8">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FCD8D67-33F5-934E-962D-B59A34FE89E1}" autoFormatId="16" applyNumberFormats="0" applyBorderFormats="0" applyFontFormats="0" applyPatternFormats="0" applyAlignmentFormats="0" applyWidthHeightFormats="0">
  <queryTableRefresh nextId="25">
    <queryTableFields count="16">
      <queryTableField id="1" name="Age" tableColumnId="1"/>
      <queryTableField id="2" name="Education" tableColumnId="2"/>
      <queryTableField id="7" name="Marketing_Effort" tableColumnId="7"/>
      <queryTableField id="10" name="Industry_Experience" tableColumnId="10"/>
      <queryTableField id="12" name="Professional_Advice" tableColumnId="12"/>
      <queryTableField id="14" name="Initial_Capital_Label" tableColumnId="14"/>
      <queryTableField id="15" name="Financial_Record_Keeping_Label" tableColumnId="15"/>
      <queryTableField id="16" name="Success_Label" tableColumnId="16"/>
      <queryTableField id="17" name="Owner_Gender_Label" tableColumnId="17"/>
      <queryTableField id="18" name="Internet_Usage_Label" tableColumnId="18"/>
      <queryTableField id="19" name="Business_Plan_Label" tableColumnId="19"/>
      <queryTableField id="20" name="Partnership_Label" tableColumnId="20"/>
      <queryTableField id="21" name="Parent_Business_Experience_Label" tableColumnId="21"/>
      <queryTableField id="22" name="Financial_Score" tableColumnId="22"/>
      <queryTableField id="23" name="Financial_Score_Category" tableColumnId="23"/>
      <queryTableField id="24" name="Marketing_Score_Category" tableColumnId="2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keting_Score_Category" xr10:uid="{EAEB4512-5976-FB44-AF1A-22E54F92D682}" sourceName="Marketing_Score_Category">
  <pivotTables>
    <pivotTable tabId="3" name="PivotTable3"/>
    <pivotTable tabId="3" name="PivotTable1"/>
    <pivotTable tabId="3" name="PivotTable2"/>
    <pivotTable tabId="3" name="PivotTable4"/>
    <pivotTable tabId="3" name="PivotTable5"/>
    <pivotTable tabId="3" name="PivotTable6"/>
    <pivotTable tabId="3" name="PivotTable7"/>
  </pivotTables>
  <data>
    <tabular pivotCacheId="334382167">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nancial_Score_Category" xr10:uid="{1B4B412E-3285-5248-A4BC-F976685A1B86}" sourceName="Financial_Score_Category">
  <pivotTables>
    <pivotTable tabId="3" name="PivotTable2"/>
    <pivotTable tabId="3" name="PivotTable1"/>
    <pivotTable tabId="3" name="PivotTable3"/>
    <pivotTable tabId="3" name="PivotTable4"/>
    <pivotTable tabId="3" name="PivotTable5"/>
    <pivotTable tabId="3" name="PivotTable6"/>
    <pivotTable tabId="3" name="PivotTable7"/>
  </pivotTables>
  <data>
    <tabular pivotCacheId="334382167">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wner_Gender_Label" xr10:uid="{6E154FB7-23F1-F646-8755-917B8ED44771}" sourceName="Owner_Gender_Label">
  <pivotTables>
    <pivotTable tabId="3" name="PivotTable1"/>
    <pivotTable tabId="3" name="PivotTable4"/>
    <pivotTable tabId="3" name="PivotTable5"/>
    <pivotTable tabId="3" name="PivotTable6"/>
    <pivotTable tabId="3" name="PivotTable7"/>
    <pivotTable tabId="3" name="PivotTable3"/>
  </pivotTables>
  <data>
    <tabular pivotCacheId="334382167">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net_Usage_Label" xr10:uid="{55084F7C-BD25-FD40-928B-39AEA0C5AA30}" sourceName="Internet_Usage_Label">
  <pivotTables>
    <pivotTable tabId="3" name="PivotTable5"/>
    <pivotTable tabId="3" name="PivotTable1"/>
    <pivotTable tabId="3" name="PivotTable2"/>
    <pivotTable tabId="3" name="PivotTable3"/>
    <pivotTable tabId="3" name="PivotTable4"/>
    <pivotTable tabId="3" name="PivotTable6"/>
    <pivotTable tabId="3" name="PivotTable7"/>
  </pivotTables>
  <data>
    <tabular pivotCacheId="334382167">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keting Score Category" xr10:uid="{4BBA59EF-EE00-714A-9FDD-05F6589A7101}" cache="Slicer_Marketing_Score_Category" caption="Marketing Score Category" rowHeight="251883"/>
  <slicer name="Financial Score Category" xr10:uid="{A7B4E7E8-3937-5F47-8512-FE22BC7A9F56}" cache="Slicer_Financial_Score_Category" caption="Financial Score Category" rowHeight="251883"/>
  <slicer name="Owner Gender Label" xr10:uid="{CBEF0FEC-0BAB-1542-8AF9-0FDE5F69E2D4}" cache="Slicer_Owner_Gender_Label" caption="Owner Gender" rowHeight="251883"/>
  <slicer name="Internet Usage Label" xr10:uid="{BB99512F-2310-3644-AE18-1754FD1E723E}" cache="Slicer_Internet_Usage_Label" caption="Internet Usage" rowHeight="251883"/>
  <slicer name="Internet_Usage_Label 1" xr10:uid="{1658261B-7391-A94C-8881-D72313207FF9}" cache="Slicer_Internet_Usage_Label" caption="Internet_Usage_Label"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644D8BF-705B-3345-819C-A96A92DC3901}" name="umkm_success_prediction_with_success" displayName="umkm_success_prediction_with_success" ref="A1:P251" tableType="queryTable" totalsRowShown="0">
  <autoFilter ref="A1:P251" xr:uid="{9644D8BF-705B-3345-819C-A96A92DC3901}"/>
  <tableColumns count="16">
    <tableColumn id="1" xr3:uid="{D5B272A5-46E7-6F48-9A8F-D702AACC3921}" uniqueName="1" name="Age" queryTableFieldId="1"/>
    <tableColumn id="2" xr3:uid="{6C21D00C-7667-F045-A4F7-09CE0B5CAF25}" uniqueName="2" name="Education" queryTableFieldId="2"/>
    <tableColumn id="7" xr3:uid="{9443A92B-7723-544E-8CB5-83540F8CAC9F}" uniqueName="7" name="Marketing_Effort" queryTableFieldId="7"/>
    <tableColumn id="10" xr3:uid="{297E3D80-4065-554D-8270-D9F90AB5A4BF}" uniqueName="10" name="industry_Experience" queryTableFieldId="10"/>
    <tableColumn id="12" xr3:uid="{7AABD5FD-7A0B-D748-959F-8D0018572FF7}" uniqueName="12" name="Professional_Advice" queryTableFieldId="12"/>
    <tableColumn id="14" xr3:uid="{F60CF90E-6359-844F-9821-F189F9293B5C}" uniqueName="14" name="Initial_Capital_Label" queryTableFieldId="14" dataDxfId="8"/>
    <tableColumn id="15" xr3:uid="{8B71BC13-F94B-5B42-87A0-C6ED9A2E39B6}" uniqueName="15" name="Financial_Record_Keeping_Label" queryTableFieldId="15" dataDxfId="7"/>
    <tableColumn id="16" xr3:uid="{F47A8A4E-BF6A-F945-B3A1-6D16647F410C}" uniqueName="16" name="Success_Label" queryTableFieldId="16" dataDxfId="6"/>
    <tableColumn id="17" xr3:uid="{0A375604-4681-1F40-80CA-997CB7F23609}" uniqueName="17" name="Owner_Gender_Label" queryTableFieldId="17" dataDxfId="5"/>
    <tableColumn id="18" xr3:uid="{F6ACC605-8668-E246-8373-87C071EB668A}" uniqueName="18" name="Internet_Usage_Label" queryTableFieldId="18" dataDxfId="4"/>
    <tableColumn id="19" xr3:uid="{F0A19C37-EF85-674B-8BBA-1D99F509B6D5}" uniqueName="19" name="Business_Plan_Label" queryTableFieldId="19" dataDxfId="3"/>
    <tableColumn id="20" xr3:uid="{A6E589E0-9C20-6247-B59F-E4F1A74F6BBA}" uniqueName="20" name="Partnership_Label" queryTableFieldId="20" dataDxfId="2"/>
    <tableColumn id="21" xr3:uid="{BF903087-458D-5F47-93A0-58FE0431E398}" uniqueName="21" name="Parent_Business_Experience_Label" queryTableFieldId="21" dataDxfId="1"/>
    <tableColumn id="22" xr3:uid="{782E61C9-C184-E944-AD7B-32000EE98FE3}" uniqueName="22" name="Financial_Score" queryTableFieldId="22"/>
    <tableColumn id="23" xr3:uid="{71091507-11EA-014E-BDAF-9483DC654894}" uniqueName="23" name="Financial_Score_Category" queryTableFieldId="23" dataDxfId="0"/>
    <tableColumn id="24" xr3:uid="{9A13D7AC-5EE1-8D47-825F-B32FB9F15B31}" uniqueName="24" name="Marketing_Score_Category" queryTableFieldId="24"/>
  </tableColumns>
  <tableStyleInfo name="TableStyleMedium7" showFirstColumn="0" showLastColumn="0" showRowStripes="1" showColumnStripes="0"/>
</table>
</file>

<file path=xl/theme/theme1.xml><?xml version="1.0" encoding="utf-8"?>
<a:theme xmlns:a="http://schemas.openxmlformats.org/drawingml/2006/main" name="Depth">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Depth">
      <a:majorFont>
        <a:latin typeface="Corbel" panose="020B0503020204020204"/>
        <a:ea typeface=""/>
        <a:cs typeface=""/>
        <a:font script="Jpan" typeface="HGｺﾞｼｯｸM"/>
        <a:font script="Hang" typeface="HY엽서L"/>
        <a:font script="Hans" typeface="华文楷体"/>
        <a:font script="Hant" typeface="新細明體"/>
        <a:font script="Arab" typeface="Tahoma"/>
        <a:font script="Hebr" typeface="Miriam"/>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Corbel" panose="020B0503020204020204"/>
        <a:ea typeface=""/>
        <a:cs typeface=""/>
        <a:font script="Jpan" typeface="HGｺﾞｼｯｸM"/>
        <a:font script="Hang" typeface="HY엽서L"/>
        <a:font script="Hans" typeface="华文楷体"/>
        <a:font script="Hant" typeface="新細明體"/>
        <a:font script="Arab" typeface="Tahoma"/>
        <a:font script="Hebr" typeface="Miriam"/>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Depth">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Depth" id="{7BEAFC2A-325C-49C4-AC08-2B765DA903F9}" vid="{1735E755-43E6-43AA-ABA2-C989ECC79AF5}"/>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5D790-D2D3-084F-B3A2-2B47D57A1F61}">
  <dimension ref="B3:H30"/>
  <sheetViews>
    <sheetView showGridLines="0" workbookViewId="0">
      <selection activeCell="I7" sqref="I7"/>
    </sheetView>
  </sheetViews>
  <sheetFormatPr baseColWidth="10" defaultRowHeight="16" x14ac:dyDescent="0.2"/>
  <cols>
    <col min="1" max="1" width="16.1640625" bestFit="1" customWidth="1"/>
    <col min="2" max="2" width="21.83203125" bestFit="1" customWidth="1"/>
    <col min="3" max="3" width="24.6640625" bestFit="1" customWidth="1"/>
    <col min="4" max="4" width="11.5" bestFit="1" customWidth="1"/>
    <col min="5" max="5" width="27" customWidth="1"/>
    <col min="6" max="6" width="21" bestFit="1" customWidth="1"/>
    <col min="7" max="7" width="24.6640625" bestFit="1" customWidth="1"/>
    <col min="8" max="8" width="13" bestFit="1" customWidth="1"/>
    <col min="9" max="9" width="20.33203125" bestFit="1" customWidth="1"/>
    <col min="10" max="10" width="5.33203125" bestFit="1" customWidth="1"/>
  </cols>
  <sheetData>
    <row r="3" spans="2:8" x14ac:dyDescent="0.2">
      <c r="B3" t="s">
        <v>43</v>
      </c>
      <c r="E3" t="s">
        <v>50</v>
      </c>
    </row>
    <row r="4" spans="2:8" x14ac:dyDescent="0.2">
      <c r="B4" s="3" t="s">
        <v>41</v>
      </c>
      <c r="C4" t="s">
        <v>61</v>
      </c>
      <c r="E4" s="3" t="s">
        <v>57</v>
      </c>
      <c r="F4" s="3" t="s">
        <v>49</v>
      </c>
    </row>
    <row r="5" spans="2:8" x14ac:dyDescent="0.2">
      <c r="B5" s="4" t="s">
        <v>18</v>
      </c>
      <c r="C5" s="2">
        <v>0.752</v>
      </c>
      <c r="E5" s="3" t="s">
        <v>45</v>
      </c>
      <c r="F5" t="s">
        <v>20</v>
      </c>
      <c r="G5" t="s">
        <v>21</v>
      </c>
      <c r="H5" t="s">
        <v>40</v>
      </c>
    </row>
    <row r="6" spans="2:8" x14ac:dyDescent="0.2">
      <c r="B6" s="4" t="s">
        <v>30</v>
      </c>
      <c r="C6" s="2">
        <v>0.248</v>
      </c>
      <c r="E6" s="4" t="s">
        <v>23</v>
      </c>
      <c r="F6" s="2">
        <v>0.45714285714285713</v>
      </c>
      <c r="G6" s="2">
        <v>0.38181818181818183</v>
      </c>
      <c r="H6" s="2">
        <v>0.42399999999999999</v>
      </c>
    </row>
    <row r="7" spans="2:8" x14ac:dyDescent="0.2">
      <c r="B7" s="4" t="s">
        <v>40</v>
      </c>
      <c r="C7" s="2">
        <v>1</v>
      </c>
      <c r="E7" s="4" t="s">
        <v>29</v>
      </c>
      <c r="F7" s="2">
        <v>0.27857142857142858</v>
      </c>
      <c r="G7" s="2">
        <v>0.29090909090909089</v>
      </c>
      <c r="H7" s="2">
        <v>0.28399999999999997</v>
      </c>
    </row>
    <row r="8" spans="2:8" x14ac:dyDescent="0.2">
      <c r="E8" s="4" t="s">
        <v>31</v>
      </c>
      <c r="F8" s="2">
        <v>0.26428571428571429</v>
      </c>
      <c r="G8" s="2">
        <v>0.32727272727272727</v>
      </c>
      <c r="H8" s="2">
        <v>0.29199999999999998</v>
      </c>
    </row>
    <row r="9" spans="2:8" x14ac:dyDescent="0.2">
      <c r="E9" s="4" t="s">
        <v>40</v>
      </c>
      <c r="F9" s="2">
        <v>1</v>
      </c>
      <c r="G9" s="2">
        <v>1</v>
      </c>
      <c r="H9" s="2">
        <v>1</v>
      </c>
    </row>
    <row r="10" spans="2:8" x14ac:dyDescent="0.2">
      <c r="B10" s="4" t="s">
        <v>46</v>
      </c>
    </row>
    <row r="11" spans="2:8" x14ac:dyDescent="0.2">
      <c r="B11" s="3" t="s">
        <v>42</v>
      </c>
      <c r="C11" t="s">
        <v>57</v>
      </c>
    </row>
    <row r="12" spans="2:8" x14ac:dyDescent="0.2">
      <c r="B12" s="4" t="s">
        <v>26</v>
      </c>
      <c r="C12" s="2">
        <v>0.24399999999999999</v>
      </c>
      <c r="E12" t="s">
        <v>60</v>
      </c>
    </row>
    <row r="13" spans="2:8" x14ac:dyDescent="0.2">
      <c r="B13" s="4" t="s">
        <v>27</v>
      </c>
      <c r="C13" s="2">
        <v>0.51600000000000001</v>
      </c>
      <c r="E13" s="3" t="s">
        <v>51</v>
      </c>
      <c r="F13" t="s">
        <v>53</v>
      </c>
      <c r="G13" t="s">
        <v>52</v>
      </c>
    </row>
    <row r="14" spans="2:8" x14ac:dyDescent="0.2">
      <c r="B14" s="4" t="s">
        <v>22</v>
      </c>
      <c r="C14" s="2">
        <v>0.24</v>
      </c>
      <c r="E14" s="4" t="s">
        <v>24</v>
      </c>
      <c r="F14" s="5">
        <v>40.775193798449614</v>
      </c>
      <c r="G14" s="5">
        <v>9.9302325581395348</v>
      </c>
    </row>
    <row r="15" spans="2:8" x14ac:dyDescent="0.2">
      <c r="B15" s="4" t="s">
        <v>40</v>
      </c>
      <c r="C15" s="2">
        <v>1</v>
      </c>
      <c r="E15" s="4" t="s">
        <v>16</v>
      </c>
      <c r="F15" s="5">
        <v>38.67768595041322</v>
      </c>
      <c r="G15" s="5">
        <v>9.5785123966942152</v>
      </c>
    </row>
    <row r="16" spans="2:8" x14ac:dyDescent="0.2">
      <c r="E16" s="4" t="s">
        <v>40</v>
      </c>
      <c r="F16" s="5">
        <v>39.76</v>
      </c>
      <c r="G16" s="5">
        <v>9.76</v>
      </c>
    </row>
    <row r="18" spans="2:7" x14ac:dyDescent="0.2">
      <c r="B18" s="4" t="s">
        <v>47</v>
      </c>
    </row>
    <row r="19" spans="2:7" x14ac:dyDescent="0.2">
      <c r="B19" s="3" t="s">
        <v>44</v>
      </c>
      <c r="C19" t="s">
        <v>57</v>
      </c>
      <c r="E19" t="s">
        <v>54</v>
      </c>
    </row>
    <row r="20" spans="2:7" x14ac:dyDescent="0.2">
      <c r="B20" s="4" t="s">
        <v>28</v>
      </c>
      <c r="C20" s="2">
        <v>0.436</v>
      </c>
      <c r="E20" s="3" t="s">
        <v>55</v>
      </c>
      <c r="F20" t="s">
        <v>57</v>
      </c>
      <c r="G20" t="s">
        <v>56</v>
      </c>
    </row>
    <row r="21" spans="2:7" x14ac:dyDescent="0.2">
      <c r="B21" s="4" t="s">
        <v>19</v>
      </c>
      <c r="C21" s="2">
        <v>0.56399999999999995</v>
      </c>
      <c r="E21" s="4">
        <v>1</v>
      </c>
      <c r="F21" s="2">
        <v>0.13600000000000001</v>
      </c>
      <c r="G21" s="5">
        <v>1</v>
      </c>
    </row>
    <row r="22" spans="2:7" x14ac:dyDescent="0.2">
      <c r="B22" s="4" t="s">
        <v>40</v>
      </c>
      <c r="C22" s="2">
        <v>1</v>
      </c>
      <c r="E22" s="4">
        <v>2</v>
      </c>
      <c r="F22" s="2">
        <v>0.152</v>
      </c>
      <c r="G22" s="5">
        <v>1.131578947368421</v>
      </c>
    </row>
    <row r="23" spans="2:7" x14ac:dyDescent="0.2">
      <c r="E23" s="4">
        <v>3</v>
      </c>
      <c r="F23" s="2">
        <v>0.13200000000000001</v>
      </c>
      <c r="G23" s="5">
        <v>1.1212121212121211</v>
      </c>
    </row>
    <row r="24" spans="2:7" x14ac:dyDescent="0.2">
      <c r="E24" s="4">
        <v>4</v>
      </c>
      <c r="F24" s="2">
        <v>9.6000000000000002E-2</v>
      </c>
      <c r="G24" s="5">
        <v>1.125</v>
      </c>
    </row>
    <row r="25" spans="2:7" x14ac:dyDescent="0.2">
      <c r="B25" t="s">
        <v>48</v>
      </c>
      <c r="E25" s="4">
        <v>5</v>
      </c>
      <c r="F25" s="2">
        <v>0.17199999999999999</v>
      </c>
      <c r="G25" s="5">
        <v>0.95348837209302328</v>
      </c>
    </row>
    <row r="26" spans="2:7" x14ac:dyDescent="0.2">
      <c r="B26" s="3" t="s">
        <v>45</v>
      </c>
      <c r="C26" t="s">
        <v>57</v>
      </c>
      <c r="E26" s="4">
        <v>6</v>
      </c>
      <c r="F26" s="2">
        <v>0.124</v>
      </c>
      <c r="G26" s="5">
        <v>0.80645161290322576</v>
      </c>
    </row>
    <row r="27" spans="2:7" x14ac:dyDescent="0.2">
      <c r="B27" s="4" t="s">
        <v>23</v>
      </c>
      <c r="C27" s="2">
        <v>0.42399999999999999</v>
      </c>
      <c r="E27" s="4">
        <v>7</v>
      </c>
      <c r="F27" s="2">
        <v>0.188</v>
      </c>
      <c r="G27" s="5">
        <v>0.93617021276595747</v>
      </c>
    </row>
    <row r="28" spans="2:7" x14ac:dyDescent="0.2">
      <c r="B28" s="4" t="s">
        <v>29</v>
      </c>
      <c r="C28" s="2">
        <v>0.28399999999999997</v>
      </c>
      <c r="E28" s="4" t="s">
        <v>40</v>
      </c>
      <c r="F28" s="2">
        <v>1</v>
      </c>
      <c r="G28" s="5">
        <v>1.004</v>
      </c>
    </row>
    <row r="29" spans="2:7" x14ac:dyDescent="0.2">
      <c r="B29" s="4" t="s">
        <v>31</v>
      </c>
      <c r="C29" s="2">
        <v>0.29199999999999998</v>
      </c>
    </row>
    <row r="30" spans="2:7" x14ac:dyDescent="0.2">
      <c r="B30" s="4" t="s">
        <v>40</v>
      </c>
      <c r="C30" s="2">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0059D-0B8F-C04D-8452-2B1B142F4631}">
  <dimension ref="B2:D80"/>
  <sheetViews>
    <sheetView showGridLines="0" tabSelected="1" showRuler="0" zoomScale="70" zoomScaleNormal="70" workbookViewId="0">
      <selection activeCell="B98" sqref="B98"/>
    </sheetView>
  </sheetViews>
  <sheetFormatPr baseColWidth="10" defaultColWidth="0" defaultRowHeight="16" x14ac:dyDescent="0.2"/>
  <cols>
    <col min="1" max="1" width="10.83203125" customWidth="1"/>
    <col min="2" max="2" width="125" customWidth="1"/>
    <col min="3" max="3" width="17.83203125" customWidth="1"/>
    <col min="4" max="4" width="10.83203125" customWidth="1"/>
    <col min="5" max="16384" width="10.83203125" hidden="1"/>
  </cols>
  <sheetData>
    <row r="2" spans="2:3" x14ac:dyDescent="0.2">
      <c r="B2" s="32"/>
      <c r="C2" s="33"/>
    </row>
    <row r="3" spans="2:3" x14ac:dyDescent="0.2">
      <c r="B3" s="34"/>
      <c r="C3" s="35"/>
    </row>
    <row r="4" spans="2:3" x14ac:dyDescent="0.2">
      <c r="B4" s="34"/>
      <c r="C4" s="35"/>
    </row>
    <row r="5" spans="2:3" x14ac:dyDescent="0.2">
      <c r="B5" s="34"/>
      <c r="C5" s="35"/>
    </row>
    <row r="6" spans="2:3" x14ac:dyDescent="0.2">
      <c r="B6" s="34"/>
      <c r="C6" s="35"/>
    </row>
    <row r="7" spans="2:3" ht="26" x14ac:dyDescent="0.3">
      <c r="B7" s="36" t="s">
        <v>43</v>
      </c>
      <c r="C7" s="37"/>
    </row>
    <row r="8" spans="2:3" ht="35" x14ac:dyDescent="0.45">
      <c r="B8" s="38" t="s">
        <v>58</v>
      </c>
      <c r="C8" s="39">
        <f>GETPIVOTDATA("Success_Label",PivotTable!$B$4,"Success_Label","Successful")</f>
        <v>0.248</v>
      </c>
    </row>
    <row r="9" spans="2:3" ht="35" x14ac:dyDescent="0.45">
      <c r="B9" s="40" t="s">
        <v>59</v>
      </c>
      <c r="C9" s="41">
        <f>GETPIVOTDATA("Success_Label",PivotTable!$B$4,"Success_Label","Not Successful")</f>
        <v>0.752</v>
      </c>
    </row>
    <row r="10" spans="2:3" x14ac:dyDescent="0.2">
      <c r="B10" s="34"/>
      <c r="C10" s="35"/>
    </row>
    <row r="11" spans="2:3" x14ac:dyDescent="0.2">
      <c r="B11" s="34"/>
      <c r="C11" s="35"/>
    </row>
    <row r="12" spans="2:3" x14ac:dyDescent="0.2">
      <c r="B12" s="34"/>
      <c r="C12" s="35"/>
    </row>
    <row r="13" spans="2:3" x14ac:dyDescent="0.2">
      <c r="B13" s="34"/>
      <c r="C13" s="35"/>
    </row>
    <row r="14" spans="2:3" x14ac:dyDescent="0.2">
      <c r="B14" s="34"/>
      <c r="C14" s="35"/>
    </row>
    <row r="15" spans="2:3" x14ac:dyDescent="0.2">
      <c r="B15" s="34"/>
      <c r="C15" s="35"/>
    </row>
    <row r="16" spans="2:3" x14ac:dyDescent="0.2">
      <c r="B16" s="34"/>
      <c r="C16" s="35"/>
    </row>
    <row r="17" spans="2:3" x14ac:dyDescent="0.2">
      <c r="B17" s="34"/>
      <c r="C17" s="35"/>
    </row>
    <row r="18" spans="2:3" x14ac:dyDescent="0.2">
      <c r="B18" s="34"/>
      <c r="C18" s="35"/>
    </row>
    <row r="19" spans="2:3" x14ac:dyDescent="0.2">
      <c r="B19" s="34"/>
      <c r="C19" s="35"/>
    </row>
    <row r="20" spans="2:3" x14ac:dyDescent="0.2">
      <c r="B20" s="34"/>
      <c r="C20" s="35"/>
    </row>
    <row r="21" spans="2:3" x14ac:dyDescent="0.2">
      <c r="B21" s="34"/>
      <c r="C21" s="35"/>
    </row>
    <row r="22" spans="2:3" x14ac:dyDescent="0.2">
      <c r="B22" s="34"/>
      <c r="C22" s="35"/>
    </row>
    <row r="23" spans="2:3" x14ac:dyDescent="0.2">
      <c r="B23" s="34"/>
      <c r="C23" s="35"/>
    </row>
    <row r="24" spans="2:3" x14ac:dyDescent="0.2">
      <c r="B24" s="34"/>
      <c r="C24" s="35"/>
    </row>
    <row r="25" spans="2:3" x14ac:dyDescent="0.2">
      <c r="B25" s="34"/>
      <c r="C25" s="35"/>
    </row>
    <row r="26" spans="2:3" x14ac:dyDescent="0.2">
      <c r="B26" s="34"/>
      <c r="C26" s="35"/>
    </row>
    <row r="27" spans="2:3" x14ac:dyDescent="0.2">
      <c r="B27" s="34"/>
      <c r="C27" s="35"/>
    </row>
    <row r="28" spans="2:3" x14ac:dyDescent="0.2">
      <c r="B28" s="34"/>
      <c r="C28" s="35"/>
    </row>
    <row r="29" spans="2:3" x14ac:dyDescent="0.2">
      <c r="B29" s="34"/>
      <c r="C29" s="35"/>
    </row>
    <row r="30" spans="2:3" x14ac:dyDescent="0.2">
      <c r="B30" s="34"/>
      <c r="C30" s="35"/>
    </row>
    <row r="31" spans="2:3" x14ac:dyDescent="0.2">
      <c r="B31" s="34"/>
      <c r="C31" s="35"/>
    </row>
    <row r="32" spans="2:3" x14ac:dyDescent="0.2">
      <c r="B32" s="34"/>
      <c r="C32" s="35"/>
    </row>
    <row r="33" spans="2:3" x14ac:dyDescent="0.2">
      <c r="B33" s="34"/>
      <c r="C33" s="35"/>
    </row>
    <row r="34" spans="2:3" x14ac:dyDescent="0.2">
      <c r="B34" s="34"/>
      <c r="C34" s="35"/>
    </row>
    <row r="35" spans="2:3" x14ac:dyDescent="0.2">
      <c r="B35" s="34"/>
      <c r="C35" s="35"/>
    </row>
    <row r="36" spans="2:3" x14ac:dyDescent="0.2">
      <c r="B36" s="34"/>
      <c r="C36" s="35"/>
    </row>
    <row r="37" spans="2:3" x14ac:dyDescent="0.2">
      <c r="B37" s="34"/>
      <c r="C37" s="35"/>
    </row>
    <row r="38" spans="2:3" x14ac:dyDescent="0.2">
      <c r="B38" s="34"/>
      <c r="C38" s="35"/>
    </row>
    <row r="39" spans="2:3" x14ac:dyDescent="0.2">
      <c r="B39" s="34"/>
      <c r="C39" s="35"/>
    </row>
    <row r="40" spans="2:3" x14ac:dyDescent="0.2">
      <c r="B40" s="34"/>
      <c r="C40" s="35"/>
    </row>
    <row r="41" spans="2:3" x14ac:dyDescent="0.2">
      <c r="B41" s="34"/>
      <c r="C41" s="35"/>
    </row>
    <row r="42" spans="2:3" x14ac:dyDescent="0.2">
      <c r="B42" s="34"/>
      <c r="C42" s="35"/>
    </row>
    <row r="43" spans="2:3" x14ac:dyDescent="0.2">
      <c r="B43" s="34"/>
      <c r="C43" s="35"/>
    </row>
    <row r="44" spans="2:3" x14ac:dyDescent="0.2">
      <c r="B44" s="34"/>
      <c r="C44" s="35"/>
    </row>
    <row r="45" spans="2:3" x14ac:dyDescent="0.2">
      <c r="B45" s="34"/>
      <c r="C45" s="35"/>
    </row>
    <row r="46" spans="2:3" x14ac:dyDescent="0.2">
      <c r="B46" s="34"/>
      <c r="C46" s="35"/>
    </row>
    <row r="47" spans="2:3" x14ac:dyDescent="0.2">
      <c r="B47" s="34"/>
      <c r="C47" s="35"/>
    </row>
    <row r="48" spans="2:3" x14ac:dyDescent="0.2">
      <c r="B48" s="34"/>
      <c r="C48" s="35"/>
    </row>
    <row r="49" spans="2:3" x14ac:dyDescent="0.2">
      <c r="B49" s="34"/>
      <c r="C49" s="35"/>
    </row>
    <row r="50" spans="2:3" x14ac:dyDescent="0.2">
      <c r="B50" s="34"/>
      <c r="C50" s="35"/>
    </row>
    <row r="51" spans="2:3" x14ac:dyDescent="0.2">
      <c r="B51" s="34"/>
      <c r="C51" s="35"/>
    </row>
    <row r="52" spans="2:3" x14ac:dyDescent="0.2">
      <c r="B52" s="34"/>
      <c r="C52" s="35"/>
    </row>
    <row r="53" spans="2:3" x14ac:dyDescent="0.2">
      <c r="B53" s="34"/>
      <c r="C53" s="35"/>
    </row>
    <row r="54" spans="2:3" x14ac:dyDescent="0.2">
      <c r="B54" s="34"/>
      <c r="C54" s="35"/>
    </row>
    <row r="55" spans="2:3" x14ac:dyDescent="0.2">
      <c r="B55" s="43"/>
      <c r="C55" s="7"/>
    </row>
    <row r="56" spans="2:3" x14ac:dyDescent="0.2">
      <c r="B56" s="42"/>
      <c r="C56" s="6"/>
    </row>
    <row r="57" spans="2:3" x14ac:dyDescent="0.2">
      <c r="B57" s="42"/>
      <c r="C57" s="6"/>
    </row>
    <row r="58" spans="2:3" x14ac:dyDescent="0.2">
      <c r="B58" s="42"/>
      <c r="C58" s="6"/>
    </row>
    <row r="59" spans="2:3" x14ac:dyDescent="0.2">
      <c r="B59" s="42"/>
      <c r="C59" s="6"/>
    </row>
    <row r="60" spans="2:3" x14ac:dyDescent="0.2">
      <c r="B60" s="42"/>
      <c r="C60" s="6"/>
    </row>
    <row r="61" spans="2:3" x14ac:dyDescent="0.2">
      <c r="B61" s="42"/>
      <c r="C61" s="6"/>
    </row>
    <row r="62" spans="2:3" x14ac:dyDescent="0.2">
      <c r="B62" s="42"/>
      <c r="C62" s="6"/>
    </row>
    <row r="63" spans="2:3" x14ac:dyDescent="0.2">
      <c r="B63" s="42"/>
      <c r="C63" s="6"/>
    </row>
    <row r="64" spans="2:3" x14ac:dyDescent="0.2">
      <c r="B64" s="42"/>
      <c r="C64" s="6"/>
    </row>
    <row r="65" spans="2:3" x14ac:dyDescent="0.2">
      <c r="B65" s="42"/>
      <c r="C65" s="6"/>
    </row>
    <row r="66" spans="2:3" x14ac:dyDescent="0.2">
      <c r="B66" s="42"/>
      <c r="C66" s="6"/>
    </row>
    <row r="67" spans="2:3" x14ac:dyDescent="0.2">
      <c r="B67" s="42"/>
      <c r="C67" s="6"/>
    </row>
    <row r="68" spans="2:3" x14ac:dyDescent="0.2">
      <c r="B68" s="42"/>
      <c r="C68" s="6"/>
    </row>
    <row r="69" spans="2:3" x14ac:dyDescent="0.2">
      <c r="B69" s="42"/>
      <c r="C69" s="6"/>
    </row>
    <row r="70" spans="2:3" x14ac:dyDescent="0.2">
      <c r="B70" s="42"/>
      <c r="C70" s="6"/>
    </row>
    <row r="71" spans="2:3" x14ac:dyDescent="0.2">
      <c r="B71" s="42"/>
      <c r="C71" s="6"/>
    </row>
    <row r="72" spans="2:3" x14ac:dyDescent="0.2">
      <c r="B72" s="42"/>
      <c r="C72" s="6"/>
    </row>
    <row r="73" spans="2:3" x14ac:dyDescent="0.2">
      <c r="B73" s="42"/>
      <c r="C73" s="6"/>
    </row>
    <row r="74" spans="2:3" x14ac:dyDescent="0.2">
      <c r="B74" s="42"/>
      <c r="C74" s="6"/>
    </row>
    <row r="75" spans="2:3" x14ac:dyDescent="0.2">
      <c r="B75" s="42"/>
      <c r="C75" s="6"/>
    </row>
    <row r="76" spans="2:3" x14ac:dyDescent="0.2">
      <c r="B76" s="42"/>
      <c r="C76" s="6"/>
    </row>
    <row r="77" spans="2:3" x14ac:dyDescent="0.2">
      <c r="B77" s="42"/>
      <c r="C77" s="6"/>
    </row>
    <row r="78" spans="2:3" x14ac:dyDescent="0.2">
      <c r="B78" s="42"/>
      <c r="C78" s="6"/>
    </row>
    <row r="79" spans="2:3" x14ac:dyDescent="0.2">
      <c r="B79" s="42"/>
      <c r="C79" s="6"/>
    </row>
    <row r="80" spans="2:3" x14ac:dyDescent="0.2">
      <c r="B80" s="43"/>
      <c r="C80" s="7"/>
    </row>
  </sheetData>
  <mergeCells count="1">
    <mergeCell ref="B7:C7"/>
  </mergeCells>
  <pageMargins left="0.7" right="0.7" top="0.75" bottom="0.75" header="0.3" footer="0.3"/>
  <pageSetup paperSize="9" orientation="portrait" horizontalDpi="0" verticalDpi="0"/>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C1A69-756E-E74E-BC70-54F9EF99FDBC}">
  <dimension ref="B14:F27"/>
  <sheetViews>
    <sheetView showGridLines="0" workbookViewId="0">
      <selection activeCell="D33" sqref="D33"/>
    </sheetView>
  </sheetViews>
  <sheetFormatPr baseColWidth="10" defaultRowHeight="16" x14ac:dyDescent="0.2"/>
  <cols>
    <col min="2" max="2" width="3.5" bestFit="1" customWidth="1"/>
    <col min="3" max="3" width="25.1640625" bestFit="1" customWidth="1"/>
    <col min="4" max="4" width="43.6640625" customWidth="1"/>
    <col min="5" max="5" width="70.1640625" bestFit="1" customWidth="1"/>
    <col min="6" max="6" width="29.83203125" bestFit="1" customWidth="1"/>
  </cols>
  <sheetData>
    <row r="14" spans="2:6" x14ac:dyDescent="0.2">
      <c r="B14" s="10" t="s">
        <v>20</v>
      </c>
      <c r="C14" s="12" t="s">
        <v>62</v>
      </c>
      <c r="D14" s="12" t="s">
        <v>108</v>
      </c>
      <c r="E14" s="12" t="s">
        <v>63</v>
      </c>
      <c r="F14" s="11" t="s">
        <v>64</v>
      </c>
    </row>
    <row r="15" spans="2:6" x14ac:dyDescent="0.2">
      <c r="B15" s="8">
        <v>1</v>
      </c>
      <c r="C15" s="13" t="s">
        <v>0</v>
      </c>
      <c r="D15" s="13" t="s">
        <v>65</v>
      </c>
      <c r="E15" s="13" t="s">
        <v>66</v>
      </c>
      <c r="F15" s="6" t="s">
        <v>67</v>
      </c>
    </row>
    <row r="16" spans="2:6" x14ac:dyDescent="0.2">
      <c r="B16" s="8">
        <v>2</v>
      </c>
      <c r="C16" s="13" t="s">
        <v>1</v>
      </c>
      <c r="D16" s="13" t="s">
        <v>68</v>
      </c>
      <c r="E16" s="13" t="s">
        <v>69</v>
      </c>
      <c r="F16" s="6" t="s">
        <v>70</v>
      </c>
    </row>
    <row r="17" spans="2:6" x14ac:dyDescent="0.2">
      <c r="B17" s="8">
        <v>3</v>
      </c>
      <c r="C17" s="13" t="s">
        <v>71</v>
      </c>
      <c r="D17" s="13" t="s">
        <v>72</v>
      </c>
      <c r="E17" s="13" t="s">
        <v>73</v>
      </c>
      <c r="F17" s="6" t="s">
        <v>74</v>
      </c>
    </row>
    <row r="18" spans="2:6" x14ac:dyDescent="0.2">
      <c r="B18" s="8">
        <v>4</v>
      </c>
      <c r="C18" s="13" t="s">
        <v>75</v>
      </c>
      <c r="D18" s="13" t="s">
        <v>76</v>
      </c>
      <c r="E18" s="13" t="s">
        <v>77</v>
      </c>
      <c r="F18" s="6" t="s">
        <v>78</v>
      </c>
    </row>
    <row r="19" spans="2:6" x14ac:dyDescent="0.2">
      <c r="B19" s="8">
        <v>5</v>
      </c>
      <c r="C19" s="13" t="s">
        <v>79</v>
      </c>
      <c r="D19" s="13" t="s">
        <v>80</v>
      </c>
      <c r="E19" s="13" t="s">
        <v>81</v>
      </c>
      <c r="F19" s="6" t="s">
        <v>82</v>
      </c>
    </row>
    <row r="20" spans="2:6" x14ac:dyDescent="0.2">
      <c r="B20" s="8">
        <v>6</v>
      </c>
      <c r="C20" s="13" t="s">
        <v>83</v>
      </c>
      <c r="D20" s="13" t="s">
        <v>84</v>
      </c>
      <c r="E20" s="13" t="s">
        <v>81</v>
      </c>
      <c r="F20" s="6" t="s">
        <v>85</v>
      </c>
    </row>
    <row r="21" spans="2:6" x14ac:dyDescent="0.2">
      <c r="B21" s="8">
        <v>7</v>
      </c>
      <c r="C21" s="13" t="s">
        <v>2</v>
      </c>
      <c r="D21" s="13" t="s">
        <v>86</v>
      </c>
      <c r="E21" s="13" t="s">
        <v>87</v>
      </c>
      <c r="F21" s="6" t="s">
        <v>88</v>
      </c>
    </row>
    <row r="22" spans="2:6" x14ac:dyDescent="0.2">
      <c r="B22" s="8">
        <v>8</v>
      </c>
      <c r="C22" s="13" t="s">
        <v>89</v>
      </c>
      <c r="D22" s="13" t="s">
        <v>90</v>
      </c>
      <c r="E22" s="13" t="s">
        <v>81</v>
      </c>
      <c r="F22" s="6" t="s">
        <v>91</v>
      </c>
    </row>
    <row r="23" spans="2:6" x14ac:dyDescent="0.2">
      <c r="B23" s="8">
        <v>9</v>
      </c>
      <c r="C23" s="13" t="s">
        <v>92</v>
      </c>
      <c r="D23" s="13" t="s">
        <v>93</v>
      </c>
      <c r="E23" s="13" t="s">
        <v>81</v>
      </c>
      <c r="F23" s="6" t="s">
        <v>94</v>
      </c>
    </row>
    <row r="24" spans="2:6" x14ac:dyDescent="0.2">
      <c r="B24" s="8">
        <v>10</v>
      </c>
      <c r="C24" s="13" t="s">
        <v>95</v>
      </c>
      <c r="D24" s="13" t="s">
        <v>96</v>
      </c>
      <c r="E24" s="13" t="s">
        <v>97</v>
      </c>
      <c r="F24" s="6" t="s">
        <v>98</v>
      </c>
    </row>
    <row r="25" spans="2:6" x14ac:dyDescent="0.2">
      <c r="B25" s="8">
        <v>11</v>
      </c>
      <c r="C25" s="13" t="s">
        <v>99</v>
      </c>
      <c r="D25" s="13" t="s">
        <v>100</v>
      </c>
      <c r="E25" s="13" t="s">
        <v>101</v>
      </c>
      <c r="F25" s="6" t="s">
        <v>102</v>
      </c>
    </row>
    <row r="26" spans="2:6" x14ac:dyDescent="0.2">
      <c r="B26" s="8">
        <v>12</v>
      </c>
      <c r="C26" s="13" t="s">
        <v>3</v>
      </c>
      <c r="D26" s="13" t="s">
        <v>103</v>
      </c>
      <c r="E26" s="13" t="s">
        <v>87</v>
      </c>
      <c r="F26" s="6" t="s">
        <v>104</v>
      </c>
    </row>
    <row r="27" spans="2:6" x14ac:dyDescent="0.2">
      <c r="B27" s="9">
        <v>13</v>
      </c>
      <c r="C27" s="14" t="s">
        <v>7</v>
      </c>
      <c r="D27" s="14" t="s">
        <v>105</v>
      </c>
      <c r="E27" s="14" t="s">
        <v>106</v>
      </c>
      <c r="F27" s="7" t="s">
        <v>107</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FAA88-6AC3-9B49-AB25-D6C57532306B}">
  <dimension ref="A2:G11"/>
  <sheetViews>
    <sheetView showGridLines="0" workbookViewId="0">
      <selection activeCell="I15" sqref="I15"/>
    </sheetView>
  </sheetViews>
  <sheetFormatPr baseColWidth="10" defaultRowHeight="16" x14ac:dyDescent="0.2"/>
  <cols>
    <col min="5" max="5" width="60.1640625" customWidth="1"/>
    <col min="6" max="6" width="17.5" customWidth="1"/>
    <col min="7" max="7" width="66.6640625" customWidth="1"/>
  </cols>
  <sheetData>
    <row r="2" spans="1:7" ht="21" customHeight="1" x14ac:dyDescent="0.2"/>
    <row r="3" spans="1:7" ht="20" customHeight="1" x14ac:dyDescent="0.2">
      <c r="B3" s="15" t="s">
        <v>32</v>
      </c>
      <c r="C3" s="16"/>
      <c r="D3" s="16"/>
      <c r="E3" s="16"/>
      <c r="F3" s="16"/>
      <c r="G3" s="17" t="s">
        <v>33</v>
      </c>
    </row>
    <row r="4" spans="1:7" ht="21" x14ac:dyDescent="0.3">
      <c r="B4" s="18" t="s">
        <v>110</v>
      </c>
      <c r="C4" s="19"/>
      <c r="D4" s="19"/>
      <c r="E4" s="19"/>
      <c r="F4" s="20"/>
      <c r="G4" s="21" t="s">
        <v>7</v>
      </c>
    </row>
    <row r="5" spans="1:7" ht="21" x14ac:dyDescent="0.3">
      <c r="B5" s="22" t="s">
        <v>111</v>
      </c>
      <c r="C5" s="23"/>
      <c r="D5" s="23"/>
      <c r="E5" s="23"/>
      <c r="F5" s="24"/>
      <c r="G5" s="25" t="s">
        <v>34</v>
      </c>
    </row>
    <row r="6" spans="1:7" ht="21" x14ac:dyDescent="0.3">
      <c r="B6" s="22" t="s">
        <v>112</v>
      </c>
      <c r="C6" s="26"/>
      <c r="D6" s="26"/>
      <c r="E6" s="26"/>
      <c r="F6" s="27"/>
      <c r="G6" s="25" t="s">
        <v>35</v>
      </c>
    </row>
    <row r="7" spans="1:7" ht="21" x14ac:dyDescent="0.3">
      <c r="B7" s="22" t="s">
        <v>113</v>
      </c>
      <c r="C7" s="26"/>
      <c r="D7" s="26"/>
      <c r="E7" s="26"/>
      <c r="F7" s="27"/>
      <c r="G7" s="25" t="s">
        <v>36</v>
      </c>
    </row>
    <row r="8" spans="1:7" ht="21" x14ac:dyDescent="0.3">
      <c r="B8" s="22" t="s">
        <v>114</v>
      </c>
      <c r="C8" s="26"/>
      <c r="D8" s="26"/>
      <c r="E8" s="26"/>
      <c r="F8" s="27"/>
      <c r="G8" s="25" t="s">
        <v>37</v>
      </c>
    </row>
    <row r="9" spans="1:7" ht="21" x14ac:dyDescent="0.3">
      <c r="B9" s="22" t="s">
        <v>115</v>
      </c>
      <c r="C9" s="26"/>
      <c r="D9" s="26"/>
      <c r="E9" s="26"/>
      <c r="F9" s="27"/>
      <c r="G9" s="25" t="s">
        <v>38</v>
      </c>
    </row>
    <row r="10" spans="1:7" ht="21" x14ac:dyDescent="0.3">
      <c r="A10" s="1"/>
      <c r="B10" s="22" t="s">
        <v>116</v>
      </c>
      <c r="C10" s="26"/>
      <c r="D10" s="26"/>
      <c r="E10" s="26"/>
      <c r="F10" s="27"/>
      <c r="G10" s="25" t="s">
        <v>39</v>
      </c>
    </row>
    <row r="11" spans="1:7" ht="21" x14ac:dyDescent="0.3">
      <c r="B11" s="28" t="s">
        <v>117</v>
      </c>
      <c r="C11" s="29"/>
      <c r="D11" s="29"/>
      <c r="E11" s="29"/>
      <c r="F11" s="30"/>
      <c r="G11" s="31" t="s">
        <v>109</v>
      </c>
    </row>
  </sheetData>
  <mergeCells count="9">
    <mergeCell ref="B8:F8"/>
    <mergeCell ref="B9:F9"/>
    <mergeCell ref="B10:F10"/>
    <mergeCell ref="B11:F11"/>
    <mergeCell ref="B3:F3"/>
    <mergeCell ref="B4:F4"/>
    <mergeCell ref="B5:F5"/>
    <mergeCell ref="B6:F6"/>
    <mergeCell ref="B7:F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B2C5A3-A682-2341-95D1-38615045D2CB}">
  <dimension ref="A1:P251"/>
  <sheetViews>
    <sheetView workbookViewId="0">
      <selection sqref="A1:P251"/>
    </sheetView>
  </sheetViews>
  <sheetFormatPr baseColWidth="10" defaultRowHeight="16" x14ac:dyDescent="0.2"/>
  <cols>
    <col min="1" max="1" width="6.83203125" customWidth="1"/>
    <col min="2" max="2" width="11.6640625" customWidth="1"/>
    <col min="3" max="3" width="17.83203125" customWidth="1"/>
    <col min="4" max="4" width="20.5" customWidth="1"/>
    <col min="5" max="5" width="20.33203125" customWidth="1"/>
    <col min="6" max="6" width="20.5" customWidth="1"/>
    <col min="7" max="7" width="31.1640625" customWidth="1"/>
    <col min="8" max="8" width="15.33203125" customWidth="1"/>
    <col min="9" max="9" width="21.6640625" customWidth="1"/>
    <col min="10" max="10" width="21.83203125" customWidth="1"/>
    <col min="11" max="11" width="20.83203125" customWidth="1"/>
    <col min="12" max="12" width="18.33203125" customWidth="1"/>
    <col min="13" max="13" width="33" customWidth="1"/>
    <col min="14" max="14" width="16.5" customWidth="1"/>
    <col min="15" max="15" width="25.1640625" customWidth="1"/>
    <col min="16" max="16" width="26.33203125" customWidth="1"/>
    <col min="17" max="17" width="15.33203125" customWidth="1"/>
    <col min="18" max="18" width="17.83203125" bestFit="1" customWidth="1"/>
    <col min="19" max="19" width="13" bestFit="1" customWidth="1"/>
    <col min="20" max="20" width="27.5" bestFit="1" customWidth="1"/>
    <col min="21" max="21" width="20.5" bestFit="1" customWidth="1"/>
    <col min="22" max="22" width="16.1640625" bestFit="1" customWidth="1"/>
    <col min="23" max="23" width="20.33203125" bestFit="1" customWidth="1"/>
    <col min="24" max="24" width="10" bestFit="1" customWidth="1"/>
  </cols>
  <sheetData>
    <row r="1" spans="1:16" x14ac:dyDescent="0.2">
      <c r="A1" t="s">
        <v>0</v>
      </c>
      <c r="B1" t="s">
        <v>1</v>
      </c>
      <c r="C1" t="s">
        <v>2</v>
      </c>
      <c r="D1" t="s">
        <v>4</v>
      </c>
      <c r="E1" t="s">
        <v>3</v>
      </c>
      <c r="F1" t="s">
        <v>5</v>
      </c>
      <c r="G1" t="s">
        <v>6</v>
      </c>
      <c r="H1" t="s">
        <v>7</v>
      </c>
      <c r="I1" t="s">
        <v>8</v>
      </c>
      <c r="J1" t="s">
        <v>9</v>
      </c>
      <c r="K1" t="s">
        <v>10</v>
      </c>
      <c r="L1" t="s">
        <v>11</v>
      </c>
      <c r="M1" t="s">
        <v>12</v>
      </c>
      <c r="N1" t="s">
        <v>13</v>
      </c>
      <c r="O1" t="s">
        <v>14</v>
      </c>
      <c r="P1" t="s">
        <v>15</v>
      </c>
    </row>
    <row r="2" spans="1:16" x14ac:dyDescent="0.2">
      <c r="A2">
        <v>60</v>
      </c>
      <c r="B2">
        <v>3</v>
      </c>
      <c r="C2">
        <v>5</v>
      </c>
      <c r="D2">
        <v>5</v>
      </c>
      <c r="E2">
        <v>3</v>
      </c>
      <c r="F2" t="s">
        <v>16</v>
      </c>
      <c r="G2" t="s">
        <v>17</v>
      </c>
      <c r="H2" t="s">
        <v>18</v>
      </c>
      <c r="I2" t="s">
        <v>19</v>
      </c>
      <c r="J2" t="s">
        <v>20</v>
      </c>
      <c r="K2" t="s">
        <v>20</v>
      </c>
      <c r="L2" t="s">
        <v>21</v>
      </c>
      <c r="M2" t="s">
        <v>21</v>
      </c>
      <c r="N2">
        <v>0</v>
      </c>
      <c r="O2" t="s">
        <v>22</v>
      </c>
      <c r="P2" t="s">
        <v>23</v>
      </c>
    </row>
    <row r="3" spans="1:16" x14ac:dyDescent="0.2">
      <c r="A3">
        <v>51</v>
      </c>
      <c r="B3">
        <v>4</v>
      </c>
      <c r="C3">
        <v>7</v>
      </c>
      <c r="D3">
        <v>4</v>
      </c>
      <c r="E3">
        <v>7</v>
      </c>
      <c r="F3" t="s">
        <v>24</v>
      </c>
      <c r="G3" t="s">
        <v>25</v>
      </c>
      <c r="H3" t="s">
        <v>18</v>
      </c>
      <c r="I3" t="s">
        <v>19</v>
      </c>
      <c r="J3" t="s">
        <v>20</v>
      </c>
      <c r="K3" t="s">
        <v>20</v>
      </c>
      <c r="L3" t="s">
        <v>21</v>
      </c>
      <c r="M3" t="s">
        <v>21</v>
      </c>
      <c r="N3">
        <v>2</v>
      </c>
      <c r="O3" t="s">
        <v>26</v>
      </c>
      <c r="P3" t="s">
        <v>23</v>
      </c>
    </row>
    <row r="4" spans="1:16" x14ac:dyDescent="0.2">
      <c r="A4">
        <v>21</v>
      </c>
      <c r="B4">
        <v>1</v>
      </c>
      <c r="C4">
        <v>7</v>
      </c>
      <c r="D4">
        <v>19</v>
      </c>
      <c r="E4">
        <v>2</v>
      </c>
      <c r="F4" t="s">
        <v>16</v>
      </c>
      <c r="G4" t="s">
        <v>25</v>
      </c>
      <c r="H4" t="s">
        <v>18</v>
      </c>
      <c r="I4" t="s">
        <v>19</v>
      </c>
      <c r="J4" t="s">
        <v>21</v>
      </c>
      <c r="K4" t="s">
        <v>20</v>
      </c>
      <c r="L4" t="s">
        <v>20</v>
      </c>
      <c r="M4" t="s">
        <v>20</v>
      </c>
      <c r="N4">
        <v>1</v>
      </c>
      <c r="O4" t="s">
        <v>27</v>
      </c>
      <c r="P4" t="s">
        <v>23</v>
      </c>
    </row>
    <row r="5" spans="1:16" x14ac:dyDescent="0.2">
      <c r="A5">
        <v>20</v>
      </c>
      <c r="B5">
        <v>1</v>
      </c>
      <c r="C5">
        <v>5</v>
      </c>
      <c r="D5">
        <v>1</v>
      </c>
      <c r="E5">
        <v>2</v>
      </c>
      <c r="F5" t="s">
        <v>16</v>
      </c>
      <c r="G5" t="s">
        <v>25</v>
      </c>
      <c r="H5" t="s">
        <v>18</v>
      </c>
      <c r="I5" t="s">
        <v>19</v>
      </c>
      <c r="J5" t="s">
        <v>21</v>
      </c>
      <c r="K5" t="s">
        <v>21</v>
      </c>
      <c r="L5" t="s">
        <v>21</v>
      </c>
      <c r="M5" t="s">
        <v>20</v>
      </c>
      <c r="N5">
        <v>1</v>
      </c>
      <c r="O5" t="s">
        <v>27</v>
      </c>
      <c r="P5" t="s">
        <v>23</v>
      </c>
    </row>
    <row r="6" spans="1:16" x14ac:dyDescent="0.2">
      <c r="A6">
        <v>35</v>
      </c>
      <c r="B6">
        <v>1</v>
      </c>
      <c r="C6">
        <v>3</v>
      </c>
      <c r="D6">
        <v>3</v>
      </c>
      <c r="E6">
        <v>1</v>
      </c>
      <c r="F6" t="s">
        <v>24</v>
      </c>
      <c r="G6" t="s">
        <v>25</v>
      </c>
      <c r="H6" t="s">
        <v>18</v>
      </c>
      <c r="I6" t="s">
        <v>28</v>
      </c>
      <c r="J6" t="s">
        <v>20</v>
      </c>
      <c r="K6" t="s">
        <v>21</v>
      </c>
      <c r="L6" t="s">
        <v>20</v>
      </c>
      <c r="M6" t="s">
        <v>21</v>
      </c>
      <c r="N6">
        <v>2</v>
      </c>
      <c r="O6" t="s">
        <v>26</v>
      </c>
      <c r="P6" t="s">
        <v>29</v>
      </c>
    </row>
    <row r="7" spans="1:16" x14ac:dyDescent="0.2">
      <c r="A7">
        <v>19</v>
      </c>
      <c r="B7">
        <v>1</v>
      </c>
      <c r="C7">
        <v>7</v>
      </c>
      <c r="D7">
        <v>4</v>
      </c>
      <c r="E7">
        <v>7</v>
      </c>
      <c r="F7" t="s">
        <v>24</v>
      </c>
      <c r="G7" t="s">
        <v>25</v>
      </c>
      <c r="H7" t="s">
        <v>30</v>
      </c>
      <c r="I7" t="s">
        <v>28</v>
      </c>
      <c r="J7" t="s">
        <v>20</v>
      </c>
      <c r="K7" t="s">
        <v>21</v>
      </c>
      <c r="L7" t="s">
        <v>20</v>
      </c>
      <c r="M7" t="s">
        <v>20</v>
      </c>
      <c r="N7">
        <v>2</v>
      </c>
      <c r="O7" t="s">
        <v>26</v>
      </c>
      <c r="P7" t="s">
        <v>23</v>
      </c>
    </row>
    <row r="8" spans="1:16" x14ac:dyDescent="0.2">
      <c r="A8">
        <v>46</v>
      </c>
      <c r="B8">
        <v>4</v>
      </c>
      <c r="C8">
        <v>7</v>
      </c>
      <c r="D8">
        <v>5</v>
      </c>
      <c r="E8">
        <v>3</v>
      </c>
      <c r="F8" t="s">
        <v>24</v>
      </c>
      <c r="G8" t="s">
        <v>25</v>
      </c>
      <c r="H8" t="s">
        <v>18</v>
      </c>
      <c r="I8" t="s">
        <v>28</v>
      </c>
      <c r="J8" t="s">
        <v>20</v>
      </c>
      <c r="K8" t="s">
        <v>20</v>
      </c>
      <c r="L8" t="s">
        <v>21</v>
      </c>
      <c r="M8" t="s">
        <v>21</v>
      </c>
      <c r="N8">
        <v>2</v>
      </c>
      <c r="O8" t="s">
        <v>26</v>
      </c>
      <c r="P8" t="s">
        <v>23</v>
      </c>
    </row>
    <row r="9" spans="1:16" x14ac:dyDescent="0.2">
      <c r="A9">
        <v>29</v>
      </c>
      <c r="B9">
        <v>3</v>
      </c>
      <c r="C9">
        <v>6</v>
      </c>
      <c r="D9">
        <v>5</v>
      </c>
      <c r="E9">
        <v>1</v>
      </c>
      <c r="F9" t="s">
        <v>24</v>
      </c>
      <c r="G9" t="s">
        <v>17</v>
      </c>
      <c r="H9" t="s">
        <v>18</v>
      </c>
      <c r="I9" t="s">
        <v>28</v>
      </c>
      <c r="J9" t="s">
        <v>20</v>
      </c>
      <c r="K9" t="s">
        <v>21</v>
      </c>
      <c r="L9" t="s">
        <v>20</v>
      </c>
      <c r="M9" t="s">
        <v>20</v>
      </c>
      <c r="N9">
        <v>1</v>
      </c>
      <c r="O9" t="s">
        <v>27</v>
      </c>
      <c r="P9" t="s">
        <v>23</v>
      </c>
    </row>
    <row r="10" spans="1:16" x14ac:dyDescent="0.2">
      <c r="A10">
        <v>31</v>
      </c>
      <c r="B10">
        <v>2</v>
      </c>
      <c r="C10">
        <v>4</v>
      </c>
      <c r="D10">
        <v>14</v>
      </c>
      <c r="E10">
        <v>3</v>
      </c>
      <c r="F10" t="s">
        <v>16</v>
      </c>
      <c r="G10" t="s">
        <v>25</v>
      </c>
      <c r="H10" t="s">
        <v>18</v>
      </c>
      <c r="I10" t="s">
        <v>28</v>
      </c>
      <c r="J10" t="s">
        <v>21</v>
      </c>
      <c r="K10" t="s">
        <v>20</v>
      </c>
      <c r="L10" t="s">
        <v>20</v>
      </c>
      <c r="M10" t="s">
        <v>20</v>
      </c>
      <c r="N10">
        <v>1</v>
      </c>
      <c r="O10" t="s">
        <v>27</v>
      </c>
      <c r="P10" t="s">
        <v>29</v>
      </c>
    </row>
    <row r="11" spans="1:16" x14ac:dyDescent="0.2">
      <c r="A11">
        <v>42</v>
      </c>
      <c r="B11">
        <v>3</v>
      </c>
      <c r="C11">
        <v>7</v>
      </c>
      <c r="D11">
        <v>3</v>
      </c>
      <c r="E11">
        <v>1</v>
      </c>
      <c r="F11" t="s">
        <v>24</v>
      </c>
      <c r="G11" t="s">
        <v>25</v>
      </c>
      <c r="H11" t="s">
        <v>18</v>
      </c>
      <c r="I11" t="s">
        <v>19</v>
      </c>
      <c r="J11" t="s">
        <v>20</v>
      </c>
      <c r="K11" t="s">
        <v>21</v>
      </c>
      <c r="L11" t="s">
        <v>21</v>
      </c>
      <c r="M11" t="s">
        <v>20</v>
      </c>
      <c r="N11">
        <v>2</v>
      </c>
      <c r="O11" t="s">
        <v>26</v>
      </c>
      <c r="P11" t="s">
        <v>23</v>
      </c>
    </row>
    <row r="12" spans="1:16" x14ac:dyDescent="0.2">
      <c r="A12">
        <v>27</v>
      </c>
      <c r="B12">
        <v>2</v>
      </c>
      <c r="C12">
        <v>5</v>
      </c>
      <c r="D12">
        <v>19</v>
      </c>
      <c r="E12">
        <v>7</v>
      </c>
      <c r="F12" t="s">
        <v>16</v>
      </c>
      <c r="G12" t="s">
        <v>17</v>
      </c>
      <c r="H12" t="s">
        <v>18</v>
      </c>
      <c r="I12" t="s">
        <v>19</v>
      </c>
      <c r="J12" t="s">
        <v>21</v>
      </c>
      <c r="K12" t="s">
        <v>20</v>
      </c>
      <c r="L12" t="s">
        <v>20</v>
      </c>
      <c r="M12" t="s">
        <v>20</v>
      </c>
      <c r="N12">
        <v>0</v>
      </c>
      <c r="O12" t="s">
        <v>22</v>
      </c>
      <c r="P12" t="s">
        <v>23</v>
      </c>
    </row>
    <row r="13" spans="1:16" x14ac:dyDescent="0.2">
      <c r="A13">
        <v>18</v>
      </c>
      <c r="B13">
        <v>1</v>
      </c>
      <c r="C13">
        <v>6</v>
      </c>
      <c r="D13">
        <v>9</v>
      </c>
      <c r="E13">
        <v>2</v>
      </c>
      <c r="F13" t="s">
        <v>16</v>
      </c>
      <c r="G13" t="s">
        <v>25</v>
      </c>
      <c r="H13" t="s">
        <v>18</v>
      </c>
      <c r="I13" t="s">
        <v>19</v>
      </c>
      <c r="J13" t="s">
        <v>20</v>
      </c>
      <c r="K13" t="s">
        <v>20</v>
      </c>
      <c r="L13" t="s">
        <v>20</v>
      </c>
      <c r="M13" t="s">
        <v>20</v>
      </c>
      <c r="N13">
        <v>1</v>
      </c>
      <c r="O13" t="s">
        <v>27</v>
      </c>
      <c r="P13" t="s">
        <v>23</v>
      </c>
    </row>
    <row r="14" spans="1:16" x14ac:dyDescent="0.2">
      <c r="A14">
        <v>60</v>
      </c>
      <c r="B14">
        <v>1</v>
      </c>
      <c r="C14">
        <v>6</v>
      </c>
      <c r="D14">
        <v>11</v>
      </c>
      <c r="E14">
        <v>2</v>
      </c>
      <c r="F14" t="s">
        <v>24</v>
      </c>
      <c r="G14" t="s">
        <v>25</v>
      </c>
      <c r="H14" t="s">
        <v>30</v>
      </c>
      <c r="I14" t="s">
        <v>19</v>
      </c>
      <c r="J14" t="s">
        <v>20</v>
      </c>
      <c r="K14" t="s">
        <v>21</v>
      </c>
      <c r="L14" t="s">
        <v>20</v>
      </c>
      <c r="M14" t="s">
        <v>20</v>
      </c>
      <c r="N14">
        <v>2</v>
      </c>
      <c r="O14" t="s">
        <v>26</v>
      </c>
      <c r="P14" t="s">
        <v>23</v>
      </c>
    </row>
    <row r="15" spans="1:16" x14ac:dyDescent="0.2">
      <c r="A15">
        <v>53</v>
      </c>
      <c r="B15">
        <v>2</v>
      </c>
      <c r="C15">
        <v>3</v>
      </c>
      <c r="D15">
        <v>10</v>
      </c>
      <c r="E15">
        <v>6</v>
      </c>
      <c r="F15" t="s">
        <v>16</v>
      </c>
      <c r="G15" t="s">
        <v>17</v>
      </c>
      <c r="H15" t="s">
        <v>18</v>
      </c>
      <c r="I15" t="s">
        <v>19</v>
      </c>
      <c r="J15" t="s">
        <v>20</v>
      </c>
      <c r="K15" t="s">
        <v>20</v>
      </c>
      <c r="L15" t="s">
        <v>21</v>
      </c>
      <c r="M15" t="s">
        <v>21</v>
      </c>
      <c r="N15">
        <v>0</v>
      </c>
      <c r="O15" t="s">
        <v>22</v>
      </c>
      <c r="P15" t="s">
        <v>29</v>
      </c>
    </row>
    <row r="16" spans="1:16" x14ac:dyDescent="0.2">
      <c r="A16">
        <v>56</v>
      </c>
      <c r="B16">
        <v>2</v>
      </c>
      <c r="C16">
        <v>1</v>
      </c>
      <c r="D16">
        <v>3</v>
      </c>
      <c r="E16">
        <v>5</v>
      </c>
      <c r="F16" t="s">
        <v>24</v>
      </c>
      <c r="G16" t="s">
        <v>17</v>
      </c>
      <c r="H16" t="s">
        <v>18</v>
      </c>
      <c r="I16" t="s">
        <v>28</v>
      </c>
      <c r="J16" t="s">
        <v>20</v>
      </c>
      <c r="K16" t="s">
        <v>21</v>
      </c>
      <c r="L16" t="s">
        <v>20</v>
      </c>
      <c r="M16" t="s">
        <v>21</v>
      </c>
      <c r="N16">
        <v>1</v>
      </c>
      <c r="O16" t="s">
        <v>27</v>
      </c>
      <c r="P16" t="s">
        <v>31</v>
      </c>
    </row>
    <row r="17" spans="1:16" x14ac:dyDescent="0.2">
      <c r="A17">
        <v>25</v>
      </c>
      <c r="B17">
        <v>5</v>
      </c>
      <c r="C17">
        <v>5</v>
      </c>
      <c r="D17">
        <v>3</v>
      </c>
      <c r="E17">
        <v>5</v>
      </c>
      <c r="F17" t="s">
        <v>16</v>
      </c>
      <c r="G17" t="s">
        <v>17</v>
      </c>
      <c r="H17" t="s">
        <v>18</v>
      </c>
      <c r="I17" t="s">
        <v>19</v>
      </c>
      <c r="J17" t="s">
        <v>21</v>
      </c>
      <c r="K17" t="s">
        <v>21</v>
      </c>
      <c r="L17" t="s">
        <v>21</v>
      </c>
      <c r="M17" t="s">
        <v>21</v>
      </c>
      <c r="N17">
        <v>0</v>
      </c>
      <c r="O17" t="s">
        <v>22</v>
      </c>
      <c r="P17" t="s">
        <v>23</v>
      </c>
    </row>
    <row r="18" spans="1:16" x14ac:dyDescent="0.2">
      <c r="A18">
        <v>57</v>
      </c>
      <c r="B18">
        <v>2</v>
      </c>
      <c r="C18">
        <v>1</v>
      </c>
      <c r="D18">
        <v>2</v>
      </c>
      <c r="E18">
        <v>6</v>
      </c>
      <c r="F18" t="s">
        <v>16</v>
      </c>
      <c r="G18" t="s">
        <v>17</v>
      </c>
      <c r="H18" t="s">
        <v>18</v>
      </c>
      <c r="I18" t="s">
        <v>19</v>
      </c>
      <c r="J18" t="s">
        <v>21</v>
      </c>
      <c r="K18" t="s">
        <v>21</v>
      </c>
      <c r="L18" t="s">
        <v>21</v>
      </c>
      <c r="M18" t="s">
        <v>20</v>
      </c>
      <c r="N18">
        <v>0</v>
      </c>
      <c r="O18" t="s">
        <v>22</v>
      </c>
      <c r="P18" t="s">
        <v>31</v>
      </c>
    </row>
    <row r="19" spans="1:16" x14ac:dyDescent="0.2">
      <c r="A19">
        <v>35</v>
      </c>
      <c r="B19">
        <v>4</v>
      </c>
      <c r="C19">
        <v>6</v>
      </c>
      <c r="D19">
        <v>16</v>
      </c>
      <c r="E19">
        <v>5</v>
      </c>
      <c r="F19" t="s">
        <v>16</v>
      </c>
      <c r="G19" t="s">
        <v>17</v>
      </c>
      <c r="H19" t="s">
        <v>18</v>
      </c>
      <c r="I19" t="s">
        <v>28</v>
      </c>
      <c r="J19" t="s">
        <v>21</v>
      </c>
      <c r="K19" t="s">
        <v>20</v>
      </c>
      <c r="L19" t="s">
        <v>21</v>
      </c>
      <c r="M19" t="s">
        <v>20</v>
      </c>
      <c r="N19">
        <v>0</v>
      </c>
      <c r="O19" t="s">
        <v>22</v>
      </c>
      <c r="P19" t="s">
        <v>23</v>
      </c>
    </row>
    <row r="20" spans="1:16" x14ac:dyDescent="0.2">
      <c r="A20">
        <v>29</v>
      </c>
      <c r="B20">
        <v>2</v>
      </c>
      <c r="C20">
        <v>2</v>
      </c>
      <c r="D20">
        <v>10</v>
      </c>
      <c r="E20">
        <v>5</v>
      </c>
      <c r="F20" t="s">
        <v>24</v>
      </c>
      <c r="G20" t="s">
        <v>25</v>
      </c>
      <c r="H20" t="s">
        <v>30</v>
      </c>
      <c r="I20" t="s">
        <v>28</v>
      </c>
      <c r="J20" t="s">
        <v>21</v>
      </c>
      <c r="K20" t="s">
        <v>20</v>
      </c>
      <c r="L20" t="s">
        <v>21</v>
      </c>
      <c r="M20" t="s">
        <v>21</v>
      </c>
      <c r="N20">
        <v>2</v>
      </c>
      <c r="O20" t="s">
        <v>26</v>
      </c>
      <c r="P20" t="s">
        <v>31</v>
      </c>
    </row>
    <row r="21" spans="1:16" x14ac:dyDescent="0.2">
      <c r="A21">
        <v>43</v>
      </c>
      <c r="B21">
        <v>3</v>
      </c>
      <c r="C21">
        <v>2</v>
      </c>
      <c r="D21">
        <v>0</v>
      </c>
      <c r="E21">
        <v>7</v>
      </c>
      <c r="F21" t="s">
        <v>16</v>
      </c>
      <c r="G21" t="s">
        <v>17</v>
      </c>
      <c r="H21" t="s">
        <v>18</v>
      </c>
      <c r="I21" t="s">
        <v>19</v>
      </c>
      <c r="J21" t="s">
        <v>21</v>
      </c>
      <c r="K21" t="s">
        <v>20</v>
      </c>
      <c r="L21" t="s">
        <v>20</v>
      </c>
      <c r="M21" t="s">
        <v>21</v>
      </c>
      <c r="N21">
        <v>0</v>
      </c>
      <c r="O21" t="s">
        <v>22</v>
      </c>
      <c r="P21" t="s">
        <v>31</v>
      </c>
    </row>
    <row r="22" spans="1:16" x14ac:dyDescent="0.2">
      <c r="A22">
        <v>26</v>
      </c>
      <c r="B22">
        <v>5</v>
      </c>
      <c r="C22">
        <v>2</v>
      </c>
      <c r="D22">
        <v>1</v>
      </c>
      <c r="E22">
        <v>2</v>
      </c>
      <c r="F22" t="s">
        <v>24</v>
      </c>
      <c r="G22" t="s">
        <v>17</v>
      </c>
      <c r="H22" t="s">
        <v>18</v>
      </c>
      <c r="I22" t="s">
        <v>28</v>
      </c>
      <c r="J22" t="s">
        <v>20</v>
      </c>
      <c r="K22" t="s">
        <v>21</v>
      </c>
      <c r="L22" t="s">
        <v>21</v>
      </c>
      <c r="M22" t="s">
        <v>20</v>
      </c>
      <c r="N22">
        <v>1</v>
      </c>
      <c r="O22" t="s">
        <v>27</v>
      </c>
      <c r="P22" t="s">
        <v>31</v>
      </c>
    </row>
    <row r="23" spans="1:16" x14ac:dyDescent="0.2">
      <c r="A23">
        <v>31</v>
      </c>
      <c r="B23">
        <v>1</v>
      </c>
      <c r="C23">
        <v>3</v>
      </c>
      <c r="D23">
        <v>12</v>
      </c>
      <c r="E23">
        <v>7</v>
      </c>
      <c r="F23" t="s">
        <v>24</v>
      </c>
      <c r="G23" t="s">
        <v>17</v>
      </c>
      <c r="H23" t="s">
        <v>18</v>
      </c>
      <c r="I23" t="s">
        <v>19</v>
      </c>
      <c r="J23" t="s">
        <v>20</v>
      </c>
      <c r="K23" t="s">
        <v>21</v>
      </c>
      <c r="L23" t="s">
        <v>20</v>
      </c>
      <c r="M23" t="s">
        <v>21</v>
      </c>
      <c r="N23">
        <v>1</v>
      </c>
      <c r="O23" t="s">
        <v>27</v>
      </c>
      <c r="P23" t="s">
        <v>29</v>
      </c>
    </row>
    <row r="24" spans="1:16" x14ac:dyDescent="0.2">
      <c r="A24">
        <v>21</v>
      </c>
      <c r="B24">
        <v>1</v>
      </c>
      <c r="C24">
        <v>6</v>
      </c>
      <c r="D24">
        <v>6</v>
      </c>
      <c r="E24">
        <v>4</v>
      </c>
      <c r="F24" t="s">
        <v>24</v>
      </c>
      <c r="G24" t="s">
        <v>25</v>
      </c>
      <c r="H24" t="s">
        <v>18</v>
      </c>
      <c r="I24" t="s">
        <v>19</v>
      </c>
      <c r="J24" t="s">
        <v>20</v>
      </c>
      <c r="K24" t="s">
        <v>20</v>
      </c>
      <c r="L24" t="s">
        <v>21</v>
      </c>
      <c r="M24" t="s">
        <v>20</v>
      </c>
      <c r="N24">
        <v>2</v>
      </c>
      <c r="O24" t="s">
        <v>26</v>
      </c>
      <c r="P24" t="s">
        <v>23</v>
      </c>
    </row>
    <row r="25" spans="1:16" x14ac:dyDescent="0.2">
      <c r="A25">
        <v>23</v>
      </c>
      <c r="B25">
        <v>3</v>
      </c>
      <c r="C25">
        <v>3</v>
      </c>
      <c r="D25">
        <v>7</v>
      </c>
      <c r="E25">
        <v>7</v>
      </c>
      <c r="F25" t="s">
        <v>24</v>
      </c>
      <c r="G25" t="s">
        <v>17</v>
      </c>
      <c r="H25" t="s">
        <v>18</v>
      </c>
      <c r="I25" t="s">
        <v>19</v>
      </c>
      <c r="J25" t="s">
        <v>20</v>
      </c>
      <c r="K25" t="s">
        <v>20</v>
      </c>
      <c r="L25" t="s">
        <v>21</v>
      </c>
      <c r="M25" t="s">
        <v>20</v>
      </c>
      <c r="N25">
        <v>1</v>
      </c>
      <c r="O25" t="s">
        <v>27</v>
      </c>
      <c r="P25" t="s">
        <v>29</v>
      </c>
    </row>
    <row r="26" spans="1:16" x14ac:dyDescent="0.2">
      <c r="A26">
        <v>30</v>
      </c>
      <c r="B26">
        <v>4</v>
      </c>
      <c r="C26">
        <v>2</v>
      </c>
      <c r="D26">
        <v>6</v>
      </c>
      <c r="E26">
        <v>7</v>
      </c>
      <c r="F26" t="s">
        <v>16</v>
      </c>
      <c r="G26" t="s">
        <v>25</v>
      </c>
      <c r="H26" t="s">
        <v>18</v>
      </c>
      <c r="I26" t="s">
        <v>19</v>
      </c>
      <c r="J26" t="s">
        <v>20</v>
      </c>
      <c r="K26" t="s">
        <v>20</v>
      </c>
      <c r="L26" t="s">
        <v>20</v>
      </c>
      <c r="M26" t="s">
        <v>21</v>
      </c>
      <c r="N26">
        <v>1</v>
      </c>
      <c r="O26" t="s">
        <v>27</v>
      </c>
      <c r="P26" t="s">
        <v>31</v>
      </c>
    </row>
    <row r="27" spans="1:16" x14ac:dyDescent="0.2">
      <c r="A27">
        <v>55</v>
      </c>
      <c r="B27">
        <v>2</v>
      </c>
      <c r="C27">
        <v>2</v>
      </c>
      <c r="D27">
        <v>20</v>
      </c>
      <c r="E27">
        <v>2</v>
      </c>
      <c r="F27" t="s">
        <v>24</v>
      </c>
      <c r="G27" t="s">
        <v>25</v>
      </c>
      <c r="H27" t="s">
        <v>30</v>
      </c>
      <c r="I27" t="s">
        <v>19</v>
      </c>
      <c r="J27" t="s">
        <v>21</v>
      </c>
      <c r="K27" t="s">
        <v>21</v>
      </c>
      <c r="L27" t="s">
        <v>20</v>
      </c>
      <c r="M27" t="s">
        <v>20</v>
      </c>
      <c r="N27">
        <v>2</v>
      </c>
      <c r="O27" t="s">
        <v>26</v>
      </c>
      <c r="P27" t="s">
        <v>31</v>
      </c>
    </row>
    <row r="28" spans="1:16" x14ac:dyDescent="0.2">
      <c r="A28">
        <v>18</v>
      </c>
      <c r="B28">
        <v>3</v>
      </c>
      <c r="C28">
        <v>6</v>
      </c>
      <c r="D28">
        <v>5</v>
      </c>
      <c r="E28">
        <v>7</v>
      </c>
      <c r="F28" t="s">
        <v>16</v>
      </c>
      <c r="G28" t="s">
        <v>25</v>
      </c>
      <c r="H28" t="s">
        <v>18</v>
      </c>
      <c r="I28" t="s">
        <v>19</v>
      </c>
      <c r="J28" t="s">
        <v>20</v>
      </c>
      <c r="K28" t="s">
        <v>21</v>
      </c>
      <c r="L28" t="s">
        <v>21</v>
      </c>
      <c r="M28" t="s">
        <v>21</v>
      </c>
      <c r="N28">
        <v>1</v>
      </c>
      <c r="O28" t="s">
        <v>27</v>
      </c>
      <c r="P28" t="s">
        <v>23</v>
      </c>
    </row>
    <row r="29" spans="1:16" x14ac:dyDescent="0.2">
      <c r="A29">
        <v>28</v>
      </c>
      <c r="B29">
        <v>2</v>
      </c>
      <c r="C29">
        <v>5</v>
      </c>
      <c r="D29">
        <v>20</v>
      </c>
      <c r="E29">
        <v>7</v>
      </c>
      <c r="F29" t="s">
        <v>16</v>
      </c>
      <c r="G29" t="s">
        <v>25</v>
      </c>
      <c r="H29" t="s">
        <v>18</v>
      </c>
      <c r="I29" t="s">
        <v>28</v>
      </c>
      <c r="J29" t="s">
        <v>20</v>
      </c>
      <c r="K29" t="s">
        <v>20</v>
      </c>
      <c r="L29" t="s">
        <v>20</v>
      </c>
      <c r="M29" t="s">
        <v>20</v>
      </c>
      <c r="N29">
        <v>1</v>
      </c>
      <c r="O29" t="s">
        <v>27</v>
      </c>
      <c r="P29" t="s">
        <v>23</v>
      </c>
    </row>
    <row r="30" spans="1:16" x14ac:dyDescent="0.2">
      <c r="A30">
        <v>46</v>
      </c>
      <c r="B30">
        <v>1</v>
      </c>
      <c r="C30">
        <v>1</v>
      </c>
      <c r="D30">
        <v>19</v>
      </c>
      <c r="E30">
        <v>6</v>
      </c>
      <c r="F30" t="s">
        <v>24</v>
      </c>
      <c r="G30" t="s">
        <v>17</v>
      </c>
      <c r="H30" t="s">
        <v>18</v>
      </c>
      <c r="I30" t="s">
        <v>19</v>
      </c>
      <c r="J30" t="s">
        <v>21</v>
      </c>
      <c r="K30" t="s">
        <v>20</v>
      </c>
      <c r="L30" t="s">
        <v>21</v>
      </c>
      <c r="M30" t="s">
        <v>20</v>
      </c>
      <c r="N30">
        <v>1</v>
      </c>
      <c r="O30" t="s">
        <v>27</v>
      </c>
      <c r="P30" t="s">
        <v>31</v>
      </c>
    </row>
    <row r="31" spans="1:16" x14ac:dyDescent="0.2">
      <c r="A31">
        <v>29</v>
      </c>
      <c r="B31">
        <v>4</v>
      </c>
      <c r="C31">
        <v>2</v>
      </c>
      <c r="D31">
        <v>10</v>
      </c>
      <c r="E31">
        <v>2</v>
      </c>
      <c r="F31" t="s">
        <v>24</v>
      </c>
      <c r="G31" t="s">
        <v>25</v>
      </c>
      <c r="H31" t="s">
        <v>30</v>
      </c>
      <c r="I31" t="s">
        <v>28</v>
      </c>
      <c r="J31" t="s">
        <v>21</v>
      </c>
      <c r="K31" t="s">
        <v>21</v>
      </c>
      <c r="L31" t="s">
        <v>21</v>
      </c>
      <c r="M31" t="s">
        <v>21</v>
      </c>
      <c r="N31">
        <v>2</v>
      </c>
      <c r="O31" t="s">
        <v>26</v>
      </c>
      <c r="P31" t="s">
        <v>31</v>
      </c>
    </row>
    <row r="32" spans="1:16" x14ac:dyDescent="0.2">
      <c r="A32">
        <v>31</v>
      </c>
      <c r="B32">
        <v>4</v>
      </c>
      <c r="C32">
        <v>6</v>
      </c>
      <c r="D32">
        <v>13</v>
      </c>
      <c r="E32">
        <v>6</v>
      </c>
      <c r="F32" t="s">
        <v>24</v>
      </c>
      <c r="G32" t="s">
        <v>17</v>
      </c>
      <c r="H32" t="s">
        <v>30</v>
      </c>
      <c r="I32" t="s">
        <v>19</v>
      </c>
      <c r="J32" t="s">
        <v>20</v>
      </c>
      <c r="K32" t="s">
        <v>21</v>
      </c>
      <c r="L32" t="s">
        <v>21</v>
      </c>
      <c r="M32" t="s">
        <v>21</v>
      </c>
      <c r="N32">
        <v>1</v>
      </c>
      <c r="O32" t="s">
        <v>27</v>
      </c>
      <c r="P32" t="s">
        <v>23</v>
      </c>
    </row>
    <row r="33" spans="1:16" x14ac:dyDescent="0.2">
      <c r="A33">
        <v>29</v>
      </c>
      <c r="B33">
        <v>5</v>
      </c>
      <c r="C33">
        <v>2</v>
      </c>
      <c r="D33">
        <v>12</v>
      </c>
      <c r="E33">
        <v>7</v>
      </c>
      <c r="F33" t="s">
        <v>16</v>
      </c>
      <c r="G33" t="s">
        <v>25</v>
      </c>
      <c r="H33" t="s">
        <v>18</v>
      </c>
      <c r="I33" t="s">
        <v>28</v>
      </c>
      <c r="J33" t="s">
        <v>21</v>
      </c>
      <c r="K33" t="s">
        <v>20</v>
      </c>
      <c r="L33" t="s">
        <v>21</v>
      </c>
      <c r="M33" t="s">
        <v>20</v>
      </c>
      <c r="N33">
        <v>1</v>
      </c>
      <c r="O33" t="s">
        <v>27</v>
      </c>
      <c r="P33" t="s">
        <v>31</v>
      </c>
    </row>
    <row r="34" spans="1:16" x14ac:dyDescent="0.2">
      <c r="A34">
        <v>59</v>
      </c>
      <c r="B34">
        <v>2</v>
      </c>
      <c r="C34">
        <v>6</v>
      </c>
      <c r="D34">
        <v>2</v>
      </c>
      <c r="E34">
        <v>1</v>
      </c>
      <c r="F34" t="s">
        <v>24</v>
      </c>
      <c r="G34" t="s">
        <v>25</v>
      </c>
      <c r="H34" t="s">
        <v>18</v>
      </c>
      <c r="I34" t="s">
        <v>28</v>
      </c>
      <c r="J34" t="s">
        <v>20</v>
      </c>
      <c r="K34" t="s">
        <v>21</v>
      </c>
      <c r="L34" t="s">
        <v>20</v>
      </c>
      <c r="M34" t="s">
        <v>20</v>
      </c>
      <c r="N34">
        <v>2</v>
      </c>
      <c r="O34" t="s">
        <v>26</v>
      </c>
      <c r="P34" t="s">
        <v>23</v>
      </c>
    </row>
    <row r="35" spans="1:16" x14ac:dyDescent="0.2">
      <c r="A35">
        <v>49</v>
      </c>
      <c r="B35">
        <v>5</v>
      </c>
      <c r="C35">
        <v>6</v>
      </c>
      <c r="D35">
        <v>12</v>
      </c>
      <c r="E35">
        <v>5</v>
      </c>
      <c r="F35" t="s">
        <v>16</v>
      </c>
      <c r="G35" t="s">
        <v>17</v>
      </c>
      <c r="H35" t="s">
        <v>18</v>
      </c>
      <c r="I35" t="s">
        <v>19</v>
      </c>
      <c r="J35" t="s">
        <v>20</v>
      </c>
      <c r="K35" t="s">
        <v>21</v>
      </c>
      <c r="L35" t="s">
        <v>21</v>
      </c>
      <c r="M35" t="s">
        <v>21</v>
      </c>
      <c r="N35">
        <v>0</v>
      </c>
      <c r="O35" t="s">
        <v>22</v>
      </c>
      <c r="P35" t="s">
        <v>23</v>
      </c>
    </row>
    <row r="36" spans="1:16" x14ac:dyDescent="0.2">
      <c r="A36">
        <v>56</v>
      </c>
      <c r="B36">
        <v>2</v>
      </c>
      <c r="C36">
        <v>5</v>
      </c>
      <c r="D36">
        <v>12</v>
      </c>
      <c r="E36">
        <v>3</v>
      </c>
      <c r="F36" t="s">
        <v>24</v>
      </c>
      <c r="G36" t="s">
        <v>17</v>
      </c>
      <c r="H36" t="s">
        <v>18</v>
      </c>
      <c r="I36" t="s">
        <v>19</v>
      </c>
      <c r="J36" t="s">
        <v>20</v>
      </c>
      <c r="K36" t="s">
        <v>20</v>
      </c>
      <c r="L36" t="s">
        <v>20</v>
      </c>
      <c r="M36" t="s">
        <v>20</v>
      </c>
      <c r="N36">
        <v>1</v>
      </c>
      <c r="O36" t="s">
        <v>27</v>
      </c>
      <c r="P36" t="s">
        <v>23</v>
      </c>
    </row>
    <row r="37" spans="1:16" x14ac:dyDescent="0.2">
      <c r="A37">
        <v>32</v>
      </c>
      <c r="B37">
        <v>4</v>
      </c>
      <c r="C37">
        <v>1</v>
      </c>
      <c r="D37">
        <v>14</v>
      </c>
      <c r="E37">
        <v>7</v>
      </c>
      <c r="F37" t="s">
        <v>24</v>
      </c>
      <c r="G37" t="s">
        <v>25</v>
      </c>
      <c r="H37" t="s">
        <v>30</v>
      </c>
      <c r="I37" t="s">
        <v>19</v>
      </c>
      <c r="J37" t="s">
        <v>21</v>
      </c>
      <c r="K37" t="s">
        <v>20</v>
      </c>
      <c r="L37" t="s">
        <v>20</v>
      </c>
      <c r="M37" t="s">
        <v>21</v>
      </c>
      <c r="N37">
        <v>2</v>
      </c>
      <c r="O37" t="s">
        <v>26</v>
      </c>
      <c r="P37" t="s">
        <v>31</v>
      </c>
    </row>
    <row r="38" spans="1:16" x14ac:dyDescent="0.2">
      <c r="A38">
        <v>18</v>
      </c>
      <c r="B38">
        <v>3</v>
      </c>
      <c r="C38">
        <v>2</v>
      </c>
      <c r="D38">
        <v>11</v>
      </c>
      <c r="E38">
        <v>5</v>
      </c>
      <c r="F38" t="s">
        <v>24</v>
      </c>
      <c r="G38" t="s">
        <v>25</v>
      </c>
      <c r="H38" t="s">
        <v>30</v>
      </c>
      <c r="I38" t="s">
        <v>28</v>
      </c>
      <c r="J38" t="s">
        <v>20</v>
      </c>
      <c r="K38" t="s">
        <v>21</v>
      </c>
      <c r="L38" t="s">
        <v>21</v>
      </c>
      <c r="M38" t="s">
        <v>21</v>
      </c>
      <c r="N38">
        <v>2</v>
      </c>
      <c r="O38" t="s">
        <v>26</v>
      </c>
      <c r="P38" t="s">
        <v>31</v>
      </c>
    </row>
    <row r="39" spans="1:16" x14ac:dyDescent="0.2">
      <c r="A39">
        <v>33</v>
      </c>
      <c r="B39">
        <v>2</v>
      </c>
      <c r="C39">
        <v>5</v>
      </c>
      <c r="D39">
        <v>20</v>
      </c>
      <c r="E39">
        <v>7</v>
      </c>
      <c r="F39" t="s">
        <v>24</v>
      </c>
      <c r="G39" t="s">
        <v>17</v>
      </c>
      <c r="H39" t="s">
        <v>18</v>
      </c>
      <c r="I39" t="s">
        <v>28</v>
      </c>
      <c r="J39" t="s">
        <v>20</v>
      </c>
      <c r="K39" t="s">
        <v>21</v>
      </c>
      <c r="L39" t="s">
        <v>21</v>
      </c>
      <c r="M39" t="s">
        <v>20</v>
      </c>
      <c r="N39">
        <v>1</v>
      </c>
      <c r="O39" t="s">
        <v>27</v>
      </c>
      <c r="P39" t="s">
        <v>23</v>
      </c>
    </row>
    <row r="40" spans="1:16" x14ac:dyDescent="0.2">
      <c r="A40">
        <v>20</v>
      </c>
      <c r="B40">
        <v>2</v>
      </c>
      <c r="C40">
        <v>1</v>
      </c>
      <c r="D40">
        <v>16</v>
      </c>
      <c r="E40">
        <v>6</v>
      </c>
      <c r="F40" t="s">
        <v>24</v>
      </c>
      <c r="G40" t="s">
        <v>17</v>
      </c>
      <c r="H40" t="s">
        <v>30</v>
      </c>
      <c r="I40" t="s">
        <v>19</v>
      </c>
      <c r="J40" t="s">
        <v>21</v>
      </c>
      <c r="K40" t="s">
        <v>21</v>
      </c>
      <c r="L40" t="s">
        <v>20</v>
      </c>
      <c r="M40" t="s">
        <v>20</v>
      </c>
      <c r="N40">
        <v>1</v>
      </c>
      <c r="O40" t="s">
        <v>27</v>
      </c>
      <c r="P40" t="s">
        <v>31</v>
      </c>
    </row>
    <row r="41" spans="1:16" x14ac:dyDescent="0.2">
      <c r="A41">
        <v>58</v>
      </c>
      <c r="B41">
        <v>1</v>
      </c>
      <c r="C41">
        <v>6</v>
      </c>
      <c r="D41">
        <v>6</v>
      </c>
      <c r="E41">
        <v>2</v>
      </c>
      <c r="F41" t="s">
        <v>16</v>
      </c>
      <c r="G41" t="s">
        <v>17</v>
      </c>
      <c r="H41" t="s">
        <v>18</v>
      </c>
      <c r="I41" t="s">
        <v>19</v>
      </c>
      <c r="J41" t="s">
        <v>20</v>
      </c>
      <c r="K41" t="s">
        <v>21</v>
      </c>
      <c r="L41" t="s">
        <v>21</v>
      </c>
      <c r="M41" t="s">
        <v>20</v>
      </c>
      <c r="N41">
        <v>0</v>
      </c>
      <c r="O41" t="s">
        <v>22</v>
      </c>
      <c r="P41" t="s">
        <v>23</v>
      </c>
    </row>
    <row r="42" spans="1:16" x14ac:dyDescent="0.2">
      <c r="A42">
        <v>26</v>
      </c>
      <c r="B42">
        <v>5</v>
      </c>
      <c r="C42">
        <v>2</v>
      </c>
      <c r="D42">
        <v>19</v>
      </c>
      <c r="E42">
        <v>5</v>
      </c>
      <c r="F42" t="s">
        <v>16</v>
      </c>
      <c r="G42" t="s">
        <v>25</v>
      </c>
      <c r="H42" t="s">
        <v>18</v>
      </c>
      <c r="I42" t="s">
        <v>19</v>
      </c>
      <c r="J42" t="s">
        <v>20</v>
      </c>
      <c r="K42" t="s">
        <v>21</v>
      </c>
      <c r="L42" t="s">
        <v>21</v>
      </c>
      <c r="M42" t="s">
        <v>20</v>
      </c>
      <c r="N42">
        <v>1</v>
      </c>
      <c r="O42" t="s">
        <v>27</v>
      </c>
      <c r="P42" t="s">
        <v>31</v>
      </c>
    </row>
    <row r="43" spans="1:16" x14ac:dyDescent="0.2">
      <c r="A43">
        <v>53</v>
      </c>
      <c r="B43">
        <v>1</v>
      </c>
      <c r="C43">
        <v>4</v>
      </c>
      <c r="D43">
        <v>10</v>
      </c>
      <c r="E43">
        <v>2</v>
      </c>
      <c r="F43" t="s">
        <v>16</v>
      </c>
      <c r="G43" t="s">
        <v>17</v>
      </c>
      <c r="H43" t="s">
        <v>18</v>
      </c>
      <c r="I43" t="s">
        <v>28</v>
      </c>
      <c r="J43" t="s">
        <v>21</v>
      </c>
      <c r="K43" t="s">
        <v>21</v>
      </c>
      <c r="L43" t="s">
        <v>20</v>
      </c>
      <c r="M43" t="s">
        <v>20</v>
      </c>
      <c r="N43">
        <v>0</v>
      </c>
      <c r="O43" t="s">
        <v>22</v>
      </c>
      <c r="P43" t="s">
        <v>29</v>
      </c>
    </row>
    <row r="44" spans="1:16" x14ac:dyDescent="0.2">
      <c r="A44">
        <v>36</v>
      </c>
      <c r="B44">
        <v>4</v>
      </c>
      <c r="C44">
        <v>4</v>
      </c>
      <c r="D44">
        <v>15</v>
      </c>
      <c r="E44">
        <v>5</v>
      </c>
      <c r="F44" t="s">
        <v>24</v>
      </c>
      <c r="G44" t="s">
        <v>17</v>
      </c>
      <c r="H44" t="s">
        <v>18</v>
      </c>
      <c r="I44" t="s">
        <v>19</v>
      </c>
      <c r="J44" t="s">
        <v>20</v>
      </c>
      <c r="K44" t="s">
        <v>20</v>
      </c>
      <c r="L44" t="s">
        <v>20</v>
      </c>
      <c r="M44" t="s">
        <v>20</v>
      </c>
      <c r="N44">
        <v>1</v>
      </c>
      <c r="O44" t="s">
        <v>27</v>
      </c>
      <c r="P44" t="s">
        <v>29</v>
      </c>
    </row>
    <row r="45" spans="1:16" x14ac:dyDescent="0.2">
      <c r="A45">
        <v>49</v>
      </c>
      <c r="B45">
        <v>1</v>
      </c>
      <c r="C45">
        <v>4</v>
      </c>
      <c r="D45">
        <v>6</v>
      </c>
      <c r="E45">
        <v>5</v>
      </c>
      <c r="F45" t="s">
        <v>16</v>
      </c>
      <c r="G45" t="s">
        <v>17</v>
      </c>
      <c r="H45" t="s">
        <v>18</v>
      </c>
      <c r="I45" t="s">
        <v>28</v>
      </c>
      <c r="J45" t="s">
        <v>21</v>
      </c>
      <c r="K45" t="s">
        <v>20</v>
      </c>
      <c r="L45" t="s">
        <v>21</v>
      </c>
      <c r="M45" t="s">
        <v>21</v>
      </c>
      <c r="N45">
        <v>0</v>
      </c>
      <c r="O45" t="s">
        <v>22</v>
      </c>
      <c r="P45" t="s">
        <v>29</v>
      </c>
    </row>
    <row r="46" spans="1:16" x14ac:dyDescent="0.2">
      <c r="A46">
        <v>35</v>
      </c>
      <c r="B46">
        <v>4</v>
      </c>
      <c r="C46">
        <v>1</v>
      </c>
      <c r="D46">
        <v>12</v>
      </c>
      <c r="E46">
        <v>2</v>
      </c>
      <c r="F46" t="s">
        <v>24</v>
      </c>
      <c r="G46" t="s">
        <v>25</v>
      </c>
      <c r="H46" t="s">
        <v>30</v>
      </c>
      <c r="I46" t="s">
        <v>19</v>
      </c>
      <c r="J46" t="s">
        <v>20</v>
      </c>
      <c r="K46" t="s">
        <v>21</v>
      </c>
      <c r="L46" t="s">
        <v>21</v>
      </c>
      <c r="M46" t="s">
        <v>21</v>
      </c>
      <c r="N46">
        <v>2</v>
      </c>
      <c r="O46" t="s">
        <v>26</v>
      </c>
      <c r="P46" t="s">
        <v>31</v>
      </c>
    </row>
    <row r="47" spans="1:16" x14ac:dyDescent="0.2">
      <c r="A47">
        <v>29</v>
      </c>
      <c r="B47">
        <v>3</v>
      </c>
      <c r="C47">
        <v>5</v>
      </c>
      <c r="D47">
        <v>4</v>
      </c>
      <c r="E47">
        <v>5</v>
      </c>
      <c r="F47" t="s">
        <v>24</v>
      </c>
      <c r="G47" t="s">
        <v>17</v>
      </c>
      <c r="H47" t="s">
        <v>18</v>
      </c>
      <c r="I47" t="s">
        <v>28</v>
      </c>
      <c r="J47" t="s">
        <v>20</v>
      </c>
      <c r="K47" t="s">
        <v>20</v>
      </c>
      <c r="L47" t="s">
        <v>21</v>
      </c>
      <c r="M47" t="s">
        <v>21</v>
      </c>
      <c r="N47">
        <v>1</v>
      </c>
      <c r="O47" t="s">
        <v>27</v>
      </c>
      <c r="P47" t="s">
        <v>23</v>
      </c>
    </row>
    <row r="48" spans="1:16" x14ac:dyDescent="0.2">
      <c r="A48">
        <v>37</v>
      </c>
      <c r="B48">
        <v>4</v>
      </c>
      <c r="C48">
        <v>7</v>
      </c>
      <c r="D48">
        <v>18</v>
      </c>
      <c r="E48">
        <v>2</v>
      </c>
      <c r="F48" t="s">
        <v>16</v>
      </c>
      <c r="G48" t="s">
        <v>17</v>
      </c>
      <c r="H48" t="s">
        <v>18</v>
      </c>
      <c r="I48" t="s">
        <v>19</v>
      </c>
      <c r="J48" t="s">
        <v>21</v>
      </c>
      <c r="K48" t="s">
        <v>20</v>
      </c>
      <c r="L48" t="s">
        <v>21</v>
      </c>
      <c r="M48" t="s">
        <v>21</v>
      </c>
      <c r="N48">
        <v>0</v>
      </c>
      <c r="O48" t="s">
        <v>22</v>
      </c>
      <c r="P48" t="s">
        <v>23</v>
      </c>
    </row>
    <row r="49" spans="1:16" x14ac:dyDescent="0.2">
      <c r="A49">
        <v>60</v>
      </c>
      <c r="B49">
        <v>2</v>
      </c>
      <c r="C49">
        <v>1</v>
      </c>
      <c r="D49">
        <v>8</v>
      </c>
      <c r="E49">
        <v>7</v>
      </c>
      <c r="F49" t="s">
        <v>16</v>
      </c>
      <c r="G49" t="s">
        <v>17</v>
      </c>
      <c r="H49" t="s">
        <v>18</v>
      </c>
      <c r="I49" t="s">
        <v>19</v>
      </c>
      <c r="J49" t="s">
        <v>21</v>
      </c>
      <c r="K49" t="s">
        <v>21</v>
      </c>
      <c r="L49" t="s">
        <v>21</v>
      </c>
      <c r="M49" t="s">
        <v>20</v>
      </c>
      <c r="N49">
        <v>0</v>
      </c>
      <c r="O49" t="s">
        <v>22</v>
      </c>
      <c r="P49" t="s">
        <v>31</v>
      </c>
    </row>
    <row r="50" spans="1:16" x14ac:dyDescent="0.2">
      <c r="A50">
        <v>47</v>
      </c>
      <c r="B50">
        <v>5</v>
      </c>
      <c r="C50">
        <v>3</v>
      </c>
      <c r="D50">
        <v>0</v>
      </c>
      <c r="E50">
        <v>7</v>
      </c>
      <c r="F50" t="s">
        <v>24</v>
      </c>
      <c r="G50" t="s">
        <v>17</v>
      </c>
      <c r="H50" t="s">
        <v>18</v>
      </c>
      <c r="I50" t="s">
        <v>19</v>
      </c>
      <c r="J50" t="s">
        <v>20</v>
      </c>
      <c r="K50" t="s">
        <v>21</v>
      </c>
      <c r="L50" t="s">
        <v>20</v>
      </c>
      <c r="M50" t="s">
        <v>20</v>
      </c>
      <c r="N50">
        <v>1</v>
      </c>
      <c r="O50" t="s">
        <v>27</v>
      </c>
      <c r="P50" t="s">
        <v>29</v>
      </c>
    </row>
    <row r="51" spans="1:16" x14ac:dyDescent="0.2">
      <c r="A51">
        <v>58</v>
      </c>
      <c r="B51">
        <v>2</v>
      </c>
      <c r="C51">
        <v>2</v>
      </c>
      <c r="D51">
        <v>13</v>
      </c>
      <c r="E51">
        <v>4</v>
      </c>
      <c r="F51" t="s">
        <v>24</v>
      </c>
      <c r="G51" t="s">
        <v>17</v>
      </c>
      <c r="H51" t="s">
        <v>18</v>
      </c>
      <c r="I51" t="s">
        <v>19</v>
      </c>
      <c r="J51" t="s">
        <v>20</v>
      </c>
      <c r="K51" t="s">
        <v>21</v>
      </c>
      <c r="L51" t="s">
        <v>21</v>
      </c>
      <c r="M51" t="s">
        <v>21</v>
      </c>
      <c r="N51">
        <v>1</v>
      </c>
      <c r="O51" t="s">
        <v>27</v>
      </c>
      <c r="P51" t="s">
        <v>31</v>
      </c>
    </row>
    <row r="52" spans="1:16" x14ac:dyDescent="0.2">
      <c r="A52">
        <v>51</v>
      </c>
      <c r="B52">
        <v>3</v>
      </c>
      <c r="C52">
        <v>7</v>
      </c>
      <c r="D52">
        <v>12</v>
      </c>
      <c r="E52">
        <v>2</v>
      </c>
      <c r="F52" t="s">
        <v>24</v>
      </c>
      <c r="G52" t="s">
        <v>17</v>
      </c>
      <c r="H52" t="s">
        <v>18</v>
      </c>
      <c r="I52" t="s">
        <v>28</v>
      </c>
      <c r="J52" t="s">
        <v>20</v>
      </c>
      <c r="K52" t="s">
        <v>20</v>
      </c>
      <c r="L52" t="s">
        <v>20</v>
      </c>
      <c r="M52" t="s">
        <v>21</v>
      </c>
      <c r="N52">
        <v>1</v>
      </c>
      <c r="O52" t="s">
        <v>27</v>
      </c>
      <c r="P52" t="s">
        <v>23</v>
      </c>
    </row>
    <row r="53" spans="1:16" x14ac:dyDescent="0.2">
      <c r="A53">
        <v>43</v>
      </c>
      <c r="B53">
        <v>1</v>
      </c>
      <c r="C53">
        <v>6</v>
      </c>
      <c r="D53">
        <v>8</v>
      </c>
      <c r="E53">
        <v>6</v>
      </c>
      <c r="F53" t="s">
        <v>24</v>
      </c>
      <c r="G53" t="s">
        <v>17</v>
      </c>
      <c r="H53" t="s">
        <v>18</v>
      </c>
      <c r="I53" t="s">
        <v>19</v>
      </c>
      <c r="J53" t="s">
        <v>20</v>
      </c>
      <c r="K53" t="s">
        <v>21</v>
      </c>
      <c r="L53" t="s">
        <v>21</v>
      </c>
      <c r="M53" t="s">
        <v>20</v>
      </c>
      <c r="N53">
        <v>1</v>
      </c>
      <c r="O53" t="s">
        <v>27</v>
      </c>
      <c r="P53" t="s">
        <v>23</v>
      </c>
    </row>
    <row r="54" spans="1:16" x14ac:dyDescent="0.2">
      <c r="A54">
        <v>50</v>
      </c>
      <c r="B54">
        <v>1</v>
      </c>
      <c r="C54">
        <v>4</v>
      </c>
      <c r="D54">
        <v>17</v>
      </c>
      <c r="E54">
        <v>2</v>
      </c>
      <c r="F54" t="s">
        <v>16</v>
      </c>
      <c r="G54" t="s">
        <v>25</v>
      </c>
      <c r="H54" t="s">
        <v>18</v>
      </c>
      <c r="I54" t="s">
        <v>28</v>
      </c>
      <c r="J54" t="s">
        <v>20</v>
      </c>
      <c r="K54" t="s">
        <v>20</v>
      </c>
      <c r="L54" t="s">
        <v>20</v>
      </c>
      <c r="M54" t="s">
        <v>21</v>
      </c>
      <c r="N54">
        <v>1</v>
      </c>
      <c r="O54" t="s">
        <v>27</v>
      </c>
      <c r="P54" t="s">
        <v>29</v>
      </c>
    </row>
    <row r="55" spans="1:16" x14ac:dyDescent="0.2">
      <c r="A55">
        <v>55</v>
      </c>
      <c r="B55">
        <v>1</v>
      </c>
      <c r="C55">
        <v>4</v>
      </c>
      <c r="D55">
        <v>4</v>
      </c>
      <c r="E55">
        <v>4</v>
      </c>
      <c r="F55" t="s">
        <v>16</v>
      </c>
      <c r="G55" t="s">
        <v>17</v>
      </c>
      <c r="H55" t="s">
        <v>18</v>
      </c>
      <c r="I55" t="s">
        <v>19</v>
      </c>
      <c r="J55" t="s">
        <v>20</v>
      </c>
      <c r="K55" t="s">
        <v>21</v>
      </c>
      <c r="L55" t="s">
        <v>21</v>
      </c>
      <c r="M55" t="s">
        <v>20</v>
      </c>
      <c r="N55">
        <v>0</v>
      </c>
      <c r="O55" t="s">
        <v>22</v>
      </c>
      <c r="P55" t="s">
        <v>29</v>
      </c>
    </row>
    <row r="56" spans="1:16" x14ac:dyDescent="0.2">
      <c r="A56">
        <v>21</v>
      </c>
      <c r="B56">
        <v>5</v>
      </c>
      <c r="C56">
        <v>2</v>
      </c>
      <c r="D56">
        <v>1</v>
      </c>
      <c r="E56">
        <v>5</v>
      </c>
      <c r="F56" t="s">
        <v>16</v>
      </c>
      <c r="G56" t="s">
        <v>17</v>
      </c>
      <c r="H56" t="s">
        <v>18</v>
      </c>
      <c r="I56" t="s">
        <v>19</v>
      </c>
      <c r="J56" t="s">
        <v>21</v>
      </c>
      <c r="K56" t="s">
        <v>21</v>
      </c>
      <c r="L56" t="s">
        <v>21</v>
      </c>
      <c r="M56" t="s">
        <v>21</v>
      </c>
      <c r="N56">
        <v>0</v>
      </c>
      <c r="O56" t="s">
        <v>22</v>
      </c>
      <c r="P56" t="s">
        <v>31</v>
      </c>
    </row>
    <row r="57" spans="1:16" x14ac:dyDescent="0.2">
      <c r="A57">
        <v>42</v>
      </c>
      <c r="B57">
        <v>4</v>
      </c>
      <c r="C57">
        <v>2</v>
      </c>
      <c r="D57">
        <v>5</v>
      </c>
      <c r="E57">
        <v>1</v>
      </c>
      <c r="F57" t="s">
        <v>16</v>
      </c>
      <c r="G57" t="s">
        <v>17</v>
      </c>
      <c r="H57" t="s">
        <v>18</v>
      </c>
      <c r="I57" t="s">
        <v>19</v>
      </c>
      <c r="J57" t="s">
        <v>20</v>
      </c>
      <c r="K57" t="s">
        <v>20</v>
      </c>
      <c r="L57" t="s">
        <v>20</v>
      </c>
      <c r="M57" t="s">
        <v>21</v>
      </c>
      <c r="N57">
        <v>0</v>
      </c>
      <c r="O57" t="s">
        <v>22</v>
      </c>
      <c r="P57" t="s">
        <v>31</v>
      </c>
    </row>
    <row r="58" spans="1:16" x14ac:dyDescent="0.2">
      <c r="A58">
        <v>57</v>
      </c>
      <c r="B58">
        <v>3</v>
      </c>
      <c r="C58">
        <v>1</v>
      </c>
      <c r="D58">
        <v>16</v>
      </c>
      <c r="E58">
        <v>3</v>
      </c>
      <c r="F58" t="s">
        <v>24</v>
      </c>
      <c r="G58" t="s">
        <v>25</v>
      </c>
      <c r="H58" t="s">
        <v>18</v>
      </c>
      <c r="I58" t="s">
        <v>28</v>
      </c>
      <c r="J58" t="s">
        <v>20</v>
      </c>
      <c r="K58" t="s">
        <v>20</v>
      </c>
      <c r="L58" t="s">
        <v>20</v>
      </c>
      <c r="M58" t="s">
        <v>21</v>
      </c>
      <c r="N58">
        <v>2</v>
      </c>
      <c r="O58" t="s">
        <v>26</v>
      </c>
      <c r="P58" t="s">
        <v>31</v>
      </c>
    </row>
    <row r="59" spans="1:16" x14ac:dyDescent="0.2">
      <c r="A59">
        <v>43</v>
      </c>
      <c r="B59">
        <v>1</v>
      </c>
      <c r="C59">
        <v>7</v>
      </c>
      <c r="D59">
        <v>16</v>
      </c>
      <c r="E59">
        <v>3</v>
      </c>
      <c r="F59" t="s">
        <v>24</v>
      </c>
      <c r="G59" t="s">
        <v>25</v>
      </c>
      <c r="H59" t="s">
        <v>30</v>
      </c>
      <c r="I59" t="s">
        <v>28</v>
      </c>
      <c r="J59" t="s">
        <v>20</v>
      </c>
      <c r="K59" t="s">
        <v>21</v>
      </c>
      <c r="L59" t="s">
        <v>21</v>
      </c>
      <c r="M59" t="s">
        <v>20</v>
      </c>
      <c r="N59">
        <v>2</v>
      </c>
      <c r="O59" t="s">
        <v>26</v>
      </c>
      <c r="P59" t="s">
        <v>23</v>
      </c>
    </row>
    <row r="60" spans="1:16" x14ac:dyDescent="0.2">
      <c r="A60">
        <v>57</v>
      </c>
      <c r="B60">
        <v>5</v>
      </c>
      <c r="C60">
        <v>3</v>
      </c>
      <c r="D60">
        <v>18</v>
      </c>
      <c r="E60">
        <v>6</v>
      </c>
      <c r="F60" t="s">
        <v>16</v>
      </c>
      <c r="G60" t="s">
        <v>17</v>
      </c>
      <c r="H60" t="s">
        <v>18</v>
      </c>
      <c r="I60" t="s">
        <v>19</v>
      </c>
      <c r="J60" t="s">
        <v>21</v>
      </c>
      <c r="K60" t="s">
        <v>20</v>
      </c>
      <c r="L60" t="s">
        <v>20</v>
      </c>
      <c r="M60" t="s">
        <v>20</v>
      </c>
      <c r="N60">
        <v>0</v>
      </c>
      <c r="O60" t="s">
        <v>22</v>
      </c>
      <c r="P60" t="s">
        <v>29</v>
      </c>
    </row>
    <row r="61" spans="1:16" x14ac:dyDescent="0.2">
      <c r="A61">
        <v>30</v>
      </c>
      <c r="B61">
        <v>2</v>
      </c>
      <c r="C61">
        <v>6</v>
      </c>
      <c r="D61">
        <v>20</v>
      </c>
      <c r="E61">
        <v>4</v>
      </c>
      <c r="F61" t="s">
        <v>24</v>
      </c>
      <c r="G61" t="s">
        <v>25</v>
      </c>
      <c r="H61" t="s">
        <v>18</v>
      </c>
      <c r="I61" t="s">
        <v>28</v>
      </c>
      <c r="J61" t="s">
        <v>20</v>
      </c>
      <c r="K61" t="s">
        <v>20</v>
      </c>
      <c r="L61" t="s">
        <v>20</v>
      </c>
      <c r="M61" t="s">
        <v>20</v>
      </c>
      <c r="N61">
        <v>2</v>
      </c>
      <c r="O61" t="s">
        <v>26</v>
      </c>
      <c r="P61" t="s">
        <v>23</v>
      </c>
    </row>
    <row r="62" spans="1:16" x14ac:dyDescent="0.2">
      <c r="A62">
        <v>22</v>
      </c>
      <c r="B62">
        <v>4</v>
      </c>
      <c r="C62">
        <v>5</v>
      </c>
      <c r="D62">
        <v>12</v>
      </c>
      <c r="E62">
        <v>5</v>
      </c>
      <c r="F62" t="s">
        <v>16</v>
      </c>
      <c r="G62" t="s">
        <v>25</v>
      </c>
      <c r="H62" t="s">
        <v>18</v>
      </c>
      <c r="I62" t="s">
        <v>28</v>
      </c>
      <c r="J62" t="s">
        <v>21</v>
      </c>
      <c r="K62" t="s">
        <v>20</v>
      </c>
      <c r="L62" t="s">
        <v>21</v>
      </c>
      <c r="M62" t="s">
        <v>20</v>
      </c>
      <c r="N62">
        <v>1</v>
      </c>
      <c r="O62" t="s">
        <v>27</v>
      </c>
      <c r="P62" t="s">
        <v>23</v>
      </c>
    </row>
    <row r="63" spans="1:16" x14ac:dyDescent="0.2">
      <c r="A63">
        <v>28</v>
      </c>
      <c r="B63">
        <v>3</v>
      </c>
      <c r="C63">
        <v>3</v>
      </c>
      <c r="D63">
        <v>16</v>
      </c>
      <c r="E63">
        <v>1</v>
      </c>
      <c r="F63" t="s">
        <v>16</v>
      </c>
      <c r="G63" t="s">
        <v>17</v>
      </c>
      <c r="H63" t="s">
        <v>18</v>
      </c>
      <c r="I63" t="s">
        <v>19</v>
      </c>
      <c r="J63" t="s">
        <v>20</v>
      </c>
      <c r="K63" t="s">
        <v>20</v>
      </c>
      <c r="L63" t="s">
        <v>20</v>
      </c>
      <c r="M63" t="s">
        <v>20</v>
      </c>
      <c r="N63">
        <v>0</v>
      </c>
      <c r="O63" t="s">
        <v>22</v>
      </c>
      <c r="P63" t="s">
        <v>29</v>
      </c>
    </row>
    <row r="64" spans="1:16" x14ac:dyDescent="0.2">
      <c r="A64">
        <v>55</v>
      </c>
      <c r="B64">
        <v>4</v>
      </c>
      <c r="C64">
        <v>6</v>
      </c>
      <c r="D64">
        <v>17</v>
      </c>
      <c r="E64">
        <v>5</v>
      </c>
      <c r="F64" t="s">
        <v>24</v>
      </c>
      <c r="G64" t="s">
        <v>25</v>
      </c>
      <c r="H64" t="s">
        <v>30</v>
      </c>
      <c r="I64" t="s">
        <v>28</v>
      </c>
      <c r="J64" t="s">
        <v>21</v>
      </c>
      <c r="K64" t="s">
        <v>20</v>
      </c>
      <c r="L64" t="s">
        <v>21</v>
      </c>
      <c r="M64" t="s">
        <v>21</v>
      </c>
      <c r="N64">
        <v>2</v>
      </c>
      <c r="O64" t="s">
        <v>26</v>
      </c>
      <c r="P64" t="s">
        <v>23</v>
      </c>
    </row>
    <row r="65" spans="1:16" x14ac:dyDescent="0.2">
      <c r="A65">
        <v>26</v>
      </c>
      <c r="B65">
        <v>2</v>
      </c>
      <c r="C65">
        <v>1</v>
      </c>
      <c r="D65">
        <v>15</v>
      </c>
      <c r="E65">
        <v>2</v>
      </c>
      <c r="F65" t="s">
        <v>24</v>
      </c>
      <c r="G65" t="s">
        <v>25</v>
      </c>
      <c r="H65" t="s">
        <v>18</v>
      </c>
      <c r="I65" t="s">
        <v>28</v>
      </c>
      <c r="J65" t="s">
        <v>20</v>
      </c>
      <c r="K65" t="s">
        <v>21</v>
      </c>
      <c r="L65" t="s">
        <v>20</v>
      </c>
      <c r="M65" t="s">
        <v>20</v>
      </c>
      <c r="N65">
        <v>2</v>
      </c>
      <c r="O65" t="s">
        <v>26</v>
      </c>
      <c r="P65" t="s">
        <v>31</v>
      </c>
    </row>
    <row r="66" spans="1:16" x14ac:dyDescent="0.2">
      <c r="A66">
        <v>36</v>
      </c>
      <c r="B66">
        <v>4</v>
      </c>
      <c r="C66">
        <v>4</v>
      </c>
      <c r="D66">
        <v>16</v>
      </c>
      <c r="E66">
        <v>7</v>
      </c>
      <c r="F66" t="s">
        <v>24</v>
      </c>
      <c r="G66" t="s">
        <v>25</v>
      </c>
      <c r="H66" t="s">
        <v>30</v>
      </c>
      <c r="I66" t="s">
        <v>28</v>
      </c>
      <c r="J66" t="s">
        <v>20</v>
      </c>
      <c r="K66" t="s">
        <v>21</v>
      </c>
      <c r="L66" t="s">
        <v>20</v>
      </c>
      <c r="M66" t="s">
        <v>20</v>
      </c>
      <c r="N66">
        <v>2</v>
      </c>
      <c r="O66" t="s">
        <v>26</v>
      </c>
      <c r="P66" t="s">
        <v>29</v>
      </c>
    </row>
    <row r="67" spans="1:16" x14ac:dyDescent="0.2">
      <c r="A67">
        <v>34</v>
      </c>
      <c r="B67">
        <v>2</v>
      </c>
      <c r="C67">
        <v>5</v>
      </c>
      <c r="D67">
        <v>16</v>
      </c>
      <c r="E67">
        <v>6</v>
      </c>
      <c r="F67" t="s">
        <v>16</v>
      </c>
      <c r="G67" t="s">
        <v>25</v>
      </c>
      <c r="H67" t="s">
        <v>18</v>
      </c>
      <c r="I67" t="s">
        <v>28</v>
      </c>
      <c r="J67" t="s">
        <v>20</v>
      </c>
      <c r="K67" t="s">
        <v>20</v>
      </c>
      <c r="L67" t="s">
        <v>20</v>
      </c>
      <c r="M67" t="s">
        <v>20</v>
      </c>
      <c r="N67">
        <v>1</v>
      </c>
      <c r="O67" t="s">
        <v>27</v>
      </c>
      <c r="P67" t="s">
        <v>23</v>
      </c>
    </row>
    <row r="68" spans="1:16" x14ac:dyDescent="0.2">
      <c r="A68">
        <v>57</v>
      </c>
      <c r="B68">
        <v>4</v>
      </c>
      <c r="C68">
        <v>1</v>
      </c>
      <c r="D68">
        <v>18</v>
      </c>
      <c r="E68">
        <v>1</v>
      </c>
      <c r="F68" t="s">
        <v>24</v>
      </c>
      <c r="G68" t="s">
        <v>25</v>
      </c>
      <c r="H68" t="s">
        <v>30</v>
      </c>
      <c r="I68" t="s">
        <v>19</v>
      </c>
      <c r="J68" t="s">
        <v>20</v>
      </c>
      <c r="K68" t="s">
        <v>21</v>
      </c>
      <c r="L68" t="s">
        <v>21</v>
      </c>
      <c r="M68" t="s">
        <v>21</v>
      </c>
      <c r="N68">
        <v>2</v>
      </c>
      <c r="O68" t="s">
        <v>26</v>
      </c>
      <c r="P68" t="s">
        <v>31</v>
      </c>
    </row>
    <row r="69" spans="1:16" x14ac:dyDescent="0.2">
      <c r="A69">
        <v>48</v>
      </c>
      <c r="B69">
        <v>4</v>
      </c>
      <c r="C69">
        <v>1</v>
      </c>
      <c r="D69">
        <v>19</v>
      </c>
      <c r="E69">
        <v>2</v>
      </c>
      <c r="F69" t="s">
        <v>24</v>
      </c>
      <c r="G69" t="s">
        <v>17</v>
      </c>
      <c r="H69" t="s">
        <v>18</v>
      </c>
      <c r="I69" t="s">
        <v>19</v>
      </c>
      <c r="J69" t="s">
        <v>21</v>
      </c>
      <c r="K69" t="s">
        <v>20</v>
      </c>
      <c r="L69" t="s">
        <v>21</v>
      </c>
      <c r="M69" t="s">
        <v>21</v>
      </c>
      <c r="N69">
        <v>1</v>
      </c>
      <c r="O69" t="s">
        <v>27</v>
      </c>
      <c r="P69" t="s">
        <v>31</v>
      </c>
    </row>
    <row r="70" spans="1:16" x14ac:dyDescent="0.2">
      <c r="A70">
        <v>60</v>
      </c>
      <c r="B70">
        <v>4</v>
      </c>
      <c r="C70">
        <v>6</v>
      </c>
      <c r="D70">
        <v>4</v>
      </c>
      <c r="E70">
        <v>4</v>
      </c>
      <c r="F70" t="s">
        <v>16</v>
      </c>
      <c r="G70" t="s">
        <v>17</v>
      </c>
      <c r="H70" t="s">
        <v>18</v>
      </c>
      <c r="I70" t="s">
        <v>28</v>
      </c>
      <c r="J70" t="s">
        <v>21</v>
      </c>
      <c r="K70" t="s">
        <v>20</v>
      </c>
      <c r="L70" t="s">
        <v>21</v>
      </c>
      <c r="M70" t="s">
        <v>20</v>
      </c>
      <c r="N70">
        <v>0</v>
      </c>
      <c r="O70" t="s">
        <v>22</v>
      </c>
      <c r="P70" t="s">
        <v>23</v>
      </c>
    </row>
    <row r="71" spans="1:16" x14ac:dyDescent="0.2">
      <c r="A71">
        <v>44</v>
      </c>
      <c r="B71">
        <v>5</v>
      </c>
      <c r="C71">
        <v>7</v>
      </c>
      <c r="D71">
        <v>0</v>
      </c>
      <c r="E71">
        <v>5</v>
      </c>
      <c r="F71" t="s">
        <v>16</v>
      </c>
      <c r="G71" t="s">
        <v>25</v>
      </c>
      <c r="H71" t="s">
        <v>18</v>
      </c>
      <c r="I71" t="s">
        <v>19</v>
      </c>
      <c r="J71" t="s">
        <v>20</v>
      </c>
      <c r="K71" t="s">
        <v>21</v>
      </c>
      <c r="L71" t="s">
        <v>21</v>
      </c>
      <c r="M71" t="s">
        <v>21</v>
      </c>
      <c r="N71">
        <v>1</v>
      </c>
      <c r="O71" t="s">
        <v>27</v>
      </c>
      <c r="P71" t="s">
        <v>23</v>
      </c>
    </row>
    <row r="72" spans="1:16" x14ac:dyDescent="0.2">
      <c r="A72">
        <v>24</v>
      </c>
      <c r="B72">
        <v>5</v>
      </c>
      <c r="C72">
        <v>4</v>
      </c>
      <c r="D72">
        <v>12</v>
      </c>
      <c r="E72">
        <v>7</v>
      </c>
      <c r="F72" t="s">
        <v>16</v>
      </c>
      <c r="G72" t="s">
        <v>25</v>
      </c>
      <c r="H72" t="s">
        <v>30</v>
      </c>
      <c r="I72" t="s">
        <v>28</v>
      </c>
      <c r="J72" t="s">
        <v>21</v>
      </c>
      <c r="K72" t="s">
        <v>21</v>
      </c>
      <c r="L72" t="s">
        <v>20</v>
      </c>
      <c r="M72" t="s">
        <v>21</v>
      </c>
      <c r="N72">
        <v>1</v>
      </c>
      <c r="O72" t="s">
        <v>27</v>
      </c>
      <c r="P72" t="s">
        <v>29</v>
      </c>
    </row>
    <row r="73" spans="1:16" x14ac:dyDescent="0.2">
      <c r="A73">
        <v>59</v>
      </c>
      <c r="B73">
        <v>1</v>
      </c>
      <c r="C73">
        <v>5</v>
      </c>
      <c r="D73">
        <v>19</v>
      </c>
      <c r="E73">
        <v>2</v>
      </c>
      <c r="F73" t="s">
        <v>16</v>
      </c>
      <c r="G73" t="s">
        <v>25</v>
      </c>
      <c r="H73" t="s">
        <v>18</v>
      </c>
      <c r="I73" t="s">
        <v>19</v>
      </c>
      <c r="J73" t="s">
        <v>20</v>
      </c>
      <c r="K73" t="s">
        <v>20</v>
      </c>
      <c r="L73" t="s">
        <v>20</v>
      </c>
      <c r="M73" t="s">
        <v>20</v>
      </c>
      <c r="N73">
        <v>1</v>
      </c>
      <c r="O73" t="s">
        <v>27</v>
      </c>
      <c r="P73" t="s">
        <v>23</v>
      </c>
    </row>
    <row r="74" spans="1:16" x14ac:dyDescent="0.2">
      <c r="A74">
        <v>29</v>
      </c>
      <c r="B74">
        <v>1</v>
      </c>
      <c r="C74">
        <v>2</v>
      </c>
      <c r="D74">
        <v>8</v>
      </c>
      <c r="E74">
        <v>7</v>
      </c>
      <c r="F74" t="s">
        <v>24</v>
      </c>
      <c r="G74" t="s">
        <v>17</v>
      </c>
      <c r="H74" t="s">
        <v>18</v>
      </c>
      <c r="I74" t="s">
        <v>19</v>
      </c>
      <c r="J74" t="s">
        <v>21</v>
      </c>
      <c r="K74" t="s">
        <v>20</v>
      </c>
      <c r="L74" t="s">
        <v>20</v>
      </c>
      <c r="M74" t="s">
        <v>20</v>
      </c>
      <c r="N74">
        <v>1</v>
      </c>
      <c r="O74" t="s">
        <v>27</v>
      </c>
      <c r="P74" t="s">
        <v>31</v>
      </c>
    </row>
    <row r="75" spans="1:16" x14ac:dyDescent="0.2">
      <c r="A75">
        <v>48</v>
      </c>
      <c r="B75">
        <v>2</v>
      </c>
      <c r="C75">
        <v>7</v>
      </c>
      <c r="D75">
        <v>4</v>
      </c>
      <c r="E75">
        <v>5</v>
      </c>
      <c r="F75" t="s">
        <v>16</v>
      </c>
      <c r="G75" t="s">
        <v>25</v>
      </c>
      <c r="H75" t="s">
        <v>30</v>
      </c>
      <c r="I75" t="s">
        <v>19</v>
      </c>
      <c r="J75" t="s">
        <v>21</v>
      </c>
      <c r="K75" t="s">
        <v>21</v>
      </c>
      <c r="L75" t="s">
        <v>21</v>
      </c>
      <c r="M75" t="s">
        <v>21</v>
      </c>
      <c r="N75">
        <v>1</v>
      </c>
      <c r="O75" t="s">
        <v>27</v>
      </c>
      <c r="P75" t="s">
        <v>23</v>
      </c>
    </row>
    <row r="76" spans="1:16" x14ac:dyDescent="0.2">
      <c r="A76">
        <v>26</v>
      </c>
      <c r="B76">
        <v>1</v>
      </c>
      <c r="C76">
        <v>1</v>
      </c>
      <c r="D76">
        <v>15</v>
      </c>
      <c r="E76">
        <v>3</v>
      </c>
      <c r="F76" t="s">
        <v>16</v>
      </c>
      <c r="G76" t="s">
        <v>25</v>
      </c>
      <c r="H76" t="s">
        <v>18</v>
      </c>
      <c r="I76" t="s">
        <v>19</v>
      </c>
      <c r="J76" t="s">
        <v>21</v>
      </c>
      <c r="K76" t="s">
        <v>20</v>
      </c>
      <c r="L76" t="s">
        <v>21</v>
      </c>
      <c r="M76" t="s">
        <v>20</v>
      </c>
      <c r="N76">
        <v>1</v>
      </c>
      <c r="O76" t="s">
        <v>27</v>
      </c>
      <c r="P76" t="s">
        <v>31</v>
      </c>
    </row>
    <row r="77" spans="1:16" x14ac:dyDescent="0.2">
      <c r="A77">
        <v>29</v>
      </c>
      <c r="B77">
        <v>1</v>
      </c>
      <c r="C77">
        <v>3</v>
      </c>
      <c r="D77">
        <v>3</v>
      </c>
      <c r="E77">
        <v>2</v>
      </c>
      <c r="F77" t="s">
        <v>16</v>
      </c>
      <c r="G77" t="s">
        <v>17</v>
      </c>
      <c r="H77" t="s">
        <v>18</v>
      </c>
      <c r="I77" t="s">
        <v>19</v>
      </c>
      <c r="J77" t="s">
        <v>21</v>
      </c>
      <c r="K77" t="s">
        <v>20</v>
      </c>
      <c r="L77" t="s">
        <v>21</v>
      </c>
      <c r="M77" t="s">
        <v>21</v>
      </c>
      <c r="N77">
        <v>0</v>
      </c>
      <c r="O77" t="s">
        <v>22</v>
      </c>
      <c r="P77" t="s">
        <v>29</v>
      </c>
    </row>
    <row r="78" spans="1:16" x14ac:dyDescent="0.2">
      <c r="A78">
        <v>60</v>
      </c>
      <c r="B78">
        <v>2</v>
      </c>
      <c r="C78">
        <v>6</v>
      </c>
      <c r="D78">
        <v>18</v>
      </c>
      <c r="E78">
        <v>7</v>
      </c>
      <c r="F78" t="s">
        <v>16</v>
      </c>
      <c r="G78" t="s">
        <v>25</v>
      </c>
      <c r="H78" t="s">
        <v>18</v>
      </c>
      <c r="I78" t="s">
        <v>28</v>
      </c>
      <c r="J78" t="s">
        <v>20</v>
      </c>
      <c r="K78" t="s">
        <v>20</v>
      </c>
      <c r="L78" t="s">
        <v>21</v>
      </c>
      <c r="M78" t="s">
        <v>20</v>
      </c>
      <c r="N78">
        <v>1</v>
      </c>
      <c r="O78" t="s">
        <v>27</v>
      </c>
      <c r="P78" t="s">
        <v>23</v>
      </c>
    </row>
    <row r="79" spans="1:16" x14ac:dyDescent="0.2">
      <c r="A79">
        <v>44</v>
      </c>
      <c r="B79">
        <v>1</v>
      </c>
      <c r="C79">
        <v>4</v>
      </c>
      <c r="D79">
        <v>15</v>
      </c>
      <c r="E79">
        <v>6</v>
      </c>
      <c r="F79" t="s">
        <v>24</v>
      </c>
      <c r="G79" t="s">
        <v>17</v>
      </c>
      <c r="H79" t="s">
        <v>30</v>
      </c>
      <c r="I79" t="s">
        <v>19</v>
      </c>
      <c r="J79" t="s">
        <v>21</v>
      </c>
      <c r="K79" t="s">
        <v>21</v>
      </c>
      <c r="L79" t="s">
        <v>20</v>
      </c>
      <c r="M79" t="s">
        <v>20</v>
      </c>
      <c r="N79">
        <v>1</v>
      </c>
      <c r="O79" t="s">
        <v>27</v>
      </c>
      <c r="P79" t="s">
        <v>29</v>
      </c>
    </row>
    <row r="80" spans="1:16" x14ac:dyDescent="0.2">
      <c r="A80">
        <v>56</v>
      </c>
      <c r="B80">
        <v>1</v>
      </c>
      <c r="C80">
        <v>6</v>
      </c>
      <c r="D80">
        <v>15</v>
      </c>
      <c r="E80">
        <v>5</v>
      </c>
      <c r="F80" t="s">
        <v>24</v>
      </c>
      <c r="G80" t="s">
        <v>17</v>
      </c>
      <c r="H80" t="s">
        <v>18</v>
      </c>
      <c r="I80" t="s">
        <v>28</v>
      </c>
      <c r="J80" t="s">
        <v>20</v>
      </c>
      <c r="K80" t="s">
        <v>20</v>
      </c>
      <c r="L80" t="s">
        <v>21</v>
      </c>
      <c r="M80" t="s">
        <v>20</v>
      </c>
      <c r="N80">
        <v>1</v>
      </c>
      <c r="O80" t="s">
        <v>27</v>
      </c>
      <c r="P80" t="s">
        <v>23</v>
      </c>
    </row>
    <row r="81" spans="1:16" x14ac:dyDescent="0.2">
      <c r="A81">
        <v>34</v>
      </c>
      <c r="B81">
        <v>3</v>
      </c>
      <c r="C81">
        <v>7</v>
      </c>
      <c r="D81">
        <v>17</v>
      </c>
      <c r="E81">
        <v>4</v>
      </c>
      <c r="F81" t="s">
        <v>16</v>
      </c>
      <c r="G81" t="s">
        <v>17</v>
      </c>
      <c r="H81" t="s">
        <v>18</v>
      </c>
      <c r="I81" t="s">
        <v>28</v>
      </c>
      <c r="J81" t="s">
        <v>20</v>
      </c>
      <c r="K81" t="s">
        <v>20</v>
      </c>
      <c r="L81" t="s">
        <v>21</v>
      </c>
      <c r="M81" t="s">
        <v>20</v>
      </c>
      <c r="N81">
        <v>0</v>
      </c>
      <c r="O81" t="s">
        <v>22</v>
      </c>
      <c r="P81" t="s">
        <v>23</v>
      </c>
    </row>
    <row r="82" spans="1:16" x14ac:dyDescent="0.2">
      <c r="A82">
        <v>18</v>
      </c>
      <c r="B82">
        <v>5</v>
      </c>
      <c r="C82">
        <v>6</v>
      </c>
      <c r="D82">
        <v>8</v>
      </c>
      <c r="E82">
        <v>5</v>
      </c>
      <c r="F82" t="s">
        <v>16</v>
      </c>
      <c r="G82" t="s">
        <v>17</v>
      </c>
      <c r="H82" t="s">
        <v>18</v>
      </c>
      <c r="I82" t="s">
        <v>19</v>
      </c>
      <c r="J82" t="s">
        <v>20</v>
      </c>
      <c r="K82" t="s">
        <v>20</v>
      </c>
      <c r="L82" t="s">
        <v>20</v>
      </c>
      <c r="M82" t="s">
        <v>20</v>
      </c>
      <c r="N82">
        <v>0</v>
      </c>
      <c r="O82" t="s">
        <v>22</v>
      </c>
      <c r="P82" t="s">
        <v>23</v>
      </c>
    </row>
    <row r="83" spans="1:16" x14ac:dyDescent="0.2">
      <c r="A83">
        <v>36</v>
      </c>
      <c r="B83">
        <v>1</v>
      </c>
      <c r="C83">
        <v>5</v>
      </c>
      <c r="D83">
        <v>20</v>
      </c>
      <c r="E83">
        <v>4</v>
      </c>
      <c r="F83" t="s">
        <v>16</v>
      </c>
      <c r="G83" t="s">
        <v>17</v>
      </c>
      <c r="H83" t="s">
        <v>18</v>
      </c>
      <c r="I83" t="s">
        <v>28</v>
      </c>
      <c r="J83" t="s">
        <v>20</v>
      </c>
      <c r="K83" t="s">
        <v>20</v>
      </c>
      <c r="L83" t="s">
        <v>20</v>
      </c>
      <c r="M83" t="s">
        <v>21</v>
      </c>
      <c r="N83">
        <v>0</v>
      </c>
      <c r="O83" t="s">
        <v>22</v>
      </c>
      <c r="P83" t="s">
        <v>23</v>
      </c>
    </row>
    <row r="84" spans="1:16" x14ac:dyDescent="0.2">
      <c r="A84">
        <v>45</v>
      </c>
      <c r="B84">
        <v>4</v>
      </c>
      <c r="C84">
        <v>4</v>
      </c>
      <c r="D84">
        <v>3</v>
      </c>
      <c r="E84">
        <v>5</v>
      </c>
      <c r="F84" t="s">
        <v>24</v>
      </c>
      <c r="G84" t="s">
        <v>17</v>
      </c>
      <c r="H84" t="s">
        <v>18</v>
      </c>
      <c r="I84" t="s">
        <v>19</v>
      </c>
      <c r="J84" t="s">
        <v>21</v>
      </c>
      <c r="K84" t="s">
        <v>20</v>
      </c>
      <c r="L84" t="s">
        <v>21</v>
      </c>
      <c r="M84" t="s">
        <v>21</v>
      </c>
      <c r="N84">
        <v>1</v>
      </c>
      <c r="O84" t="s">
        <v>27</v>
      </c>
      <c r="P84" t="s">
        <v>29</v>
      </c>
    </row>
    <row r="85" spans="1:16" x14ac:dyDescent="0.2">
      <c r="A85">
        <v>19</v>
      </c>
      <c r="B85">
        <v>4</v>
      </c>
      <c r="C85">
        <v>1</v>
      </c>
      <c r="D85">
        <v>2</v>
      </c>
      <c r="E85">
        <v>2</v>
      </c>
      <c r="F85" t="s">
        <v>16</v>
      </c>
      <c r="G85" t="s">
        <v>25</v>
      </c>
      <c r="H85" t="s">
        <v>18</v>
      </c>
      <c r="I85" t="s">
        <v>19</v>
      </c>
      <c r="J85" t="s">
        <v>20</v>
      </c>
      <c r="K85" t="s">
        <v>20</v>
      </c>
      <c r="L85" t="s">
        <v>20</v>
      </c>
      <c r="M85" t="s">
        <v>20</v>
      </c>
      <c r="N85">
        <v>1</v>
      </c>
      <c r="O85" t="s">
        <v>27</v>
      </c>
      <c r="P85" t="s">
        <v>31</v>
      </c>
    </row>
    <row r="86" spans="1:16" x14ac:dyDescent="0.2">
      <c r="A86">
        <v>27</v>
      </c>
      <c r="B86">
        <v>4</v>
      </c>
      <c r="C86">
        <v>2</v>
      </c>
      <c r="D86">
        <v>5</v>
      </c>
      <c r="E86">
        <v>5</v>
      </c>
      <c r="F86" t="s">
        <v>16</v>
      </c>
      <c r="G86" t="s">
        <v>25</v>
      </c>
      <c r="H86" t="s">
        <v>18</v>
      </c>
      <c r="I86" t="s">
        <v>19</v>
      </c>
      <c r="J86" t="s">
        <v>21</v>
      </c>
      <c r="K86" t="s">
        <v>21</v>
      </c>
      <c r="L86" t="s">
        <v>21</v>
      </c>
      <c r="M86" t="s">
        <v>20</v>
      </c>
      <c r="N86">
        <v>1</v>
      </c>
      <c r="O86" t="s">
        <v>27</v>
      </c>
      <c r="P86" t="s">
        <v>31</v>
      </c>
    </row>
    <row r="87" spans="1:16" x14ac:dyDescent="0.2">
      <c r="A87">
        <v>59</v>
      </c>
      <c r="B87">
        <v>1</v>
      </c>
      <c r="C87">
        <v>1</v>
      </c>
      <c r="D87">
        <v>11</v>
      </c>
      <c r="E87">
        <v>2</v>
      </c>
      <c r="F87" t="s">
        <v>24</v>
      </c>
      <c r="G87" t="s">
        <v>25</v>
      </c>
      <c r="H87" t="s">
        <v>18</v>
      </c>
      <c r="I87" t="s">
        <v>19</v>
      </c>
      <c r="J87" t="s">
        <v>20</v>
      </c>
      <c r="K87" t="s">
        <v>20</v>
      </c>
      <c r="L87" t="s">
        <v>20</v>
      </c>
      <c r="M87" t="s">
        <v>21</v>
      </c>
      <c r="N87">
        <v>2</v>
      </c>
      <c r="O87" t="s">
        <v>26</v>
      </c>
      <c r="P87" t="s">
        <v>31</v>
      </c>
    </row>
    <row r="88" spans="1:16" x14ac:dyDescent="0.2">
      <c r="A88">
        <v>36</v>
      </c>
      <c r="B88">
        <v>3</v>
      </c>
      <c r="C88">
        <v>5</v>
      </c>
      <c r="D88">
        <v>8</v>
      </c>
      <c r="E88">
        <v>4</v>
      </c>
      <c r="F88" t="s">
        <v>16</v>
      </c>
      <c r="G88" t="s">
        <v>17</v>
      </c>
      <c r="H88" t="s">
        <v>18</v>
      </c>
      <c r="I88" t="s">
        <v>28</v>
      </c>
      <c r="J88" t="s">
        <v>20</v>
      </c>
      <c r="K88" t="s">
        <v>21</v>
      </c>
      <c r="L88" t="s">
        <v>20</v>
      </c>
      <c r="M88" t="s">
        <v>21</v>
      </c>
      <c r="N88">
        <v>0</v>
      </c>
      <c r="O88" t="s">
        <v>22</v>
      </c>
      <c r="P88" t="s">
        <v>23</v>
      </c>
    </row>
    <row r="89" spans="1:16" x14ac:dyDescent="0.2">
      <c r="A89">
        <v>46</v>
      </c>
      <c r="B89">
        <v>4</v>
      </c>
      <c r="C89">
        <v>7</v>
      </c>
      <c r="D89">
        <v>17</v>
      </c>
      <c r="E89">
        <v>7</v>
      </c>
      <c r="F89" t="s">
        <v>16</v>
      </c>
      <c r="G89" t="s">
        <v>17</v>
      </c>
      <c r="H89" t="s">
        <v>18</v>
      </c>
      <c r="I89" t="s">
        <v>28</v>
      </c>
      <c r="J89" t="s">
        <v>21</v>
      </c>
      <c r="K89" t="s">
        <v>20</v>
      </c>
      <c r="L89" t="s">
        <v>20</v>
      </c>
      <c r="M89" t="s">
        <v>21</v>
      </c>
      <c r="N89">
        <v>0</v>
      </c>
      <c r="O89" t="s">
        <v>22</v>
      </c>
      <c r="P89" t="s">
        <v>23</v>
      </c>
    </row>
    <row r="90" spans="1:16" x14ac:dyDescent="0.2">
      <c r="A90">
        <v>33</v>
      </c>
      <c r="B90">
        <v>3</v>
      </c>
      <c r="C90">
        <v>3</v>
      </c>
      <c r="D90">
        <v>5</v>
      </c>
      <c r="E90">
        <v>1</v>
      </c>
      <c r="F90" t="s">
        <v>16</v>
      </c>
      <c r="G90" t="s">
        <v>17</v>
      </c>
      <c r="H90" t="s">
        <v>18</v>
      </c>
      <c r="I90" t="s">
        <v>28</v>
      </c>
      <c r="J90" t="s">
        <v>21</v>
      </c>
      <c r="K90" t="s">
        <v>21</v>
      </c>
      <c r="L90" t="s">
        <v>21</v>
      </c>
      <c r="M90" t="s">
        <v>20</v>
      </c>
      <c r="N90">
        <v>0</v>
      </c>
      <c r="O90" t="s">
        <v>22</v>
      </c>
      <c r="P90" t="s">
        <v>29</v>
      </c>
    </row>
    <row r="91" spans="1:16" x14ac:dyDescent="0.2">
      <c r="A91">
        <v>58</v>
      </c>
      <c r="B91">
        <v>1</v>
      </c>
      <c r="C91">
        <v>4</v>
      </c>
      <c r="D91">
        <v>11</v>
      </c>
      <c r="E91">
        <v>2</v>
      </c>
      <c r="F91" t="s">
        <v>24</v>
      </c>
      <c r="G91" t="s">
        <v>17</v>
      </c>
      <c r="H91" t="s">
        <v>18</v>
      </c>
      <c r="I91" t="s">
        <v>19</v>
      </c>
      <c r="J91" t="s">
        <v>21</v>
      </c>
      <c r="K91" t="s">
        <v>20</v>
      </c>
      <c r="L91" t="s">
        <v>21</v>
      </c>
      <c r="M91" t="s">
        <v>21</v>
      </c>
      <c r="N91">
        <v>1</v>
      </c>
      <c r="O91" t="s">
        <v>27</v>
      </c>
      <c r="P91" t="s">
        <v>29</v>
      </c>
    </row>
    <row r="92" spans="1:16" x14ac:dyDescent="0.2">
      <c r="A92">
        <v>27</v>
      </c>
      <c r="B92">
        <v>5</v>
      </c>
      <c r="C92">
        <v>6</v>
      </c>
      <c r="D92">
        <v>11</v>
      </c>
      <c r="E92">
        <v>7</v>
      </c>
      <c r="F92" t="s">
        <v>24</v>
      </c>
      <c r="G92" t="s">
        <v>25</v>
      </c>
      <c r="H92" t="s">
        <v>30</v>
      </c>
      <c r="I92" t="s">
        <v>28</v>
      </c>
      <c r="J92" t="s">
        <v>20</v>
      </c>
      <c r="K92" t="s">
        <v>21</v>
      </c>
      <c r="L92" t="s">
        <v>21</v>
      </c>
      <c r="M92" t="s">
        <v>21</v>
      </c>
      <c r="N92">
        <v>2</v>
      </c>
      <c r="O92" t="s">
        <v>26</v>
      </c>
      <c r="P92" t="s">
        <v>23</v>
      </c>
    </row>
    <row r="93" spans="1:16" x14ac:dyDescent="0.2">
      <c r="A93">
        <v>24</v>
      </c>
      <c r="B93">
        <v>5</v>
      </c>
      <c r="C93">
        <v>6</v>
      </c>
      <c r="D93">
        <v>8</v>
      </c>
      <c r="E93">
        <v>2</v>
      </c>
      <c r="F93" t="s">
        <v>16</v>
      </c>
      <c r="G93" t="s">
        <v>17</v>
      </c>
      <c r="H93" t="s">
        <v>18</v>
      </c>
      <c r="I93" t="s">
        <v>19</v>
      </c>
      <c r="J93" t="s">
        <v>20</v>
      </c>
      <c r="K93" t="s">
        <v>20</v>
      </c>
      <c r="L93" t="s">
        <v>20</v>
      </c>
      <c r="M93" t="s">
        <v>20</v>
      </c>
      <c r="N93">
        <v>0</v>
      </c>
      <c r="O93" t="s">
        <v>22</v>
      </c>
      <c r="P93" t="s">
        <v>23</v>
      </c>
    </row>
    <row r="94" spans="1:16" x14ac:dyDescent="0.2">
      <c r="A94">
        <v>48</v>
      </c>
      <c r="B94">
        <v>4</v>
      </c>
      <c r="C94">
        <v>2</v>
      </c>
      <c r="D94">
        <v>1</v>
      </c>
      <c r="E94">
        <v>7</v>
      </c>
      <c r="F94" t="s">
        <v>24</v>
      </c>
      <c r="G94" t="s">
        <v>17</v>
      </c>
      <c r="H94" t="s">
        <v>18</v>
      </c>
      <c r="I94" t="s">
        <v>19</v>
      </c>
      <c r="J94" t="s">
        <v>20</v>
      </c>
      <c r="K94" t="s">
        <v>20</v>
      </c>
      <c r="L94" t="s">
        <v>20</v>
      </c>
      <c r="M94" t="s">
        <v>21</v>
      </c>
      <c r="N94">
        <v>1</v>
      </c>
      <c r="O94" t="s">
        <v>27</v>
      </c>
      <c r="P94" t="s">
        <v>31</v>
      </c>
    </row>
    <row r="95" spans="1:16" x14ac:dyDescent="0.2">
      <c r="A95">
        <v>56</v>
      </c>
      <c r="B95">
        <v>2</v>
      </c>
      <c r="C95">
        <v>7</v>
      </c>
      <c r="D95">
        <v>3</v>
      </c>
      <c r="E95">
        <v>1</v>
      </c>
      <c r="F95" t="s">
        <v>16</v>
      </c>
      <c r="G95" t="s">
        <v>17</v>
      </c>
      <c r="H95" t="s">
        <v>18</v>
      </c>
      <c r="I95" t="s">
        <v>28</v>
      </c>
      <c r="J95" t="s">
        <v>21</v>
      </c>
      <c r="K95" t="s">
        <v>20</v>
      </c>
      <c r="L95" t="s">
        <v>21</v>
      </c>
      <c r="M95" t="s">
        <v>21</v>
      </c>
      <c r="N95">
        <v>0</v>
      </c>
      <c r="O95" t="s">
        <v>22</v>
      </c>
      <c r="P95" t="s">
        <v>23</v>
      </c>
    </row>
    <row r="96" spans="1:16" x14ac:dyDescent="0.2">
      <c r="A96">
        <v>23</v>
      </c>
      <c r="B96">
        <v>4</v>
      </c>
      <c r="C96">
        <v>6</v>
      </c>
      <c r="D96">
        <v>4</v>
      </c>
      <c r="E96">
        <v>5</v>
      </c>
      <c r="F96" t="s">
        <v>16</v>
      </c>
      <c r="G96" t="s">
        <v>17</v>
      </c>
      <c r="H96" t="s">
        <v>18</v>
      </c>
      <c r="I96" t="s">
        <v>19</v>
      </c>
      <c r="J96" t="s">
        <v>21</v>
      </c>
      <c r="K96" t="s">
        <v>21</v>
      </c>
      <c r="L96" t="s">
        <v>21</v>
      </c>
      <c r="M96" t="s">
        <v>20</v>
      </c>
      <c r="N96">
        <v>0</v>
      </c>
      <c r="O96" t="s">
        <v>22</v>
      </c>
      <c r="P96" t="s">
        <v>23</v>
      </c>
    </row>
    <row r="97" spans="1:16" x14ac:dyDescent="0.2">
      <c r="A97">
        <v>42</v>
      </c>
      <c r="B97">
        <v>4</v>
      </c>
      <c r="C97">
        <v>2</v>
      </c>
      <c r="D97">
        <v>13</v>
      </c>
      <c r="E97">
        <v>4</v>
      </c>
      <c r="F97" t="s">
        <v>24</v>
      </c>
      <c r="G97" t="s">
        <v>25</v>
      </c>
      <c r="H97" t="s">
        <v>30</v>
      </c>
      <c r="I97" t="s">
        <v>28</v>
      </c>
      <c r="J97" t="s">
        <v>21</v>
      </c>
      <c r="K97" t="s">
        <v>21</v>
      </c>
      <c r="L97" t="s">
        <v>20</v>
      </c>
      <c r="M97" t="s">
        <v>20</v>
      </c>
      <c r="N97">
        <v>2</v>
      </c>
      <c r="O97" t="s">
        <v>26</v>
      </c>
      <c r="P97" t="s">
        <v>31</v>
      </c>
    </row>
    <row r="98" spans="1:16" x14ac:dyDescent="0.2">
      <c r="A98">
        <v>41</v>
      </c>
      <c r="B98">
        <v>1</v>
      </c>
      <c r="C98">
        <v>6</v>
      </c>
      <c r="D98">
        <v>8</v>
      </c>
      <c r="E98">
        <v>1</v>
      </c>
      <c r="F98" t="s">
        <v>16</v>
      </c>
      <c r="G98" t="s">
        <v>25</v>
      </c>
      <c r="H98" t="s">
        <v>18</v>
      </c>
      <c r="I98" t="s">
        <v>28</v>
      </c>
      <c r="J98" t="s">
        <v>20</v>
      </c>
      <c r="K98" t="s">
        <v>20</v>
      </c>
      <c r="L98" t="s">
        <v>20</v>
      </c>
      <c r="M98" t="s">
        <v>21</v>
      </c>
      <c r="N98">
        <v>1</v>
      </c>
      <c r="O98" t="s">
        <v>27</v>
      </c>
      <c r="P98" t="s">
        <v>23</v>
      </c>
    </row>
    <row r="99" spans="1:16" x14ac:dyDescent="0.2">
      <c r="A99">
        <v>20</v>
      </c>
      <c r="B99">
        <v>3</v>
      </c>
      <c r="C99">
        <v>7</v>
      </c>
      <c r="D99">
        <v>8</v>
      </c>
      <c r="E99">
        <v>2</v>
      </c>
      <c r="F99" t="s">
        <v>16</v>
      </c>
      <c r="G99" t="s">
        <v>25</v>
      </c>
      <c r="H99" t="s">
        <v>18</v>
      </c>
      <c r="I99" t="s">
        <v>19</v>
      </c>
      <c r="J99" t="s">
        <v>21</v>
      </c>
      <c r="K99" t="s">
        <v>20</v>
      </c>
      <c r="L99" t="s">
        <v>20</v>
      </c>
      <c r="M99" t="s">
        <v>21</v>
      </c>
      <c r="N99">
        <v>1</v>
      </c>
      <c r="O99" t="s">
        <v>27</v>
      </c>
      <c r="P99" t="s">
        <v>23</v>
      </c>
    </row>
    <row r="100" spans="1:16" x14ac:dyDescent="0.2">
      <c r="A100">
        <v>39</v>
      </c>
      <c r="B100">
        <v>1</v>
      </c>
      <c r="C100">
        <v>7</v>
      </c>
      <c r="D100">
        <v>13</v>
      </c>
      <c r="E100">
        <v>7</v>
      </c>
      <c r="F100" t="s">
        <v>24</v>
      </c>
      <c r="G100" t="s">
        <v>25</v>
      </c>
      <c r="H100" t="s">
        <v>30</v>
      </c>
      <c r="I100" t="s">
        <v>19</v>
      </c>
      <c r="J100" t="s">
        <v>21</v>
      </c>
      <c r="K100" t="s">
        <v>21</v>
      </c>
      <c r="L100" t="s">
        <v>20</v>
      </c>
      <c r="M100" t="s">
        <v>20</v>
      </c>
      <c r="N100">
        <v>2</v>
      </c>
      <c r="O100" t="s">
        <v>26</v>
      </c>
      <c r="P100" t="s">
        <v>23</v>
      </c>
    </row>
    <row r="101" spans="1:16" x14ac:dyDescent="0.2">
      <c r="A101">
        <v>30</v>
      </c>
      <c r="B101">
        <v>1</v>
      </c>
      <c r="C101">
        <v>7</v>
      </c>
      <c r="D101">
        <v>12</v>
      </c>
      <c r="E101">
        <v>5</v>
      </c>
      <c r="F101" t="s">
        <v>16</v>
      </c>
      <c r="G101" t="s">
        <v>17</v>
      </c>
      <c r="H101" t="s">
        <v>30</v>
      </c>
      <c r="I101" t="s">
        <v>28</v>
      </c>
      <c r="J101" t="s">
        <v>21</v>
      </c>
      <c r="K101" t="s">
        <v>21</v>
      </c>
      <c r="L101" t="s">
        <v>20</v>
      </c>
      <c r="M101" t="s">
        <v>21</v>
      </c>
      <c r="N101">
        <v>0</v>
      </c>
      <c r="O101" t="s">
        <v>22</v>
      </c>
      <c r="P101" t="s">
        <v>23</v>
      </c>
    </row>
    <row r="102" spans="1:16" x14ac:dyDescent="0.2">
      <c r="A102">
        <v>45</v>
      </c>
      <c r="B102">
        <v>3</v>
      </c>
      <c r="C102">
        <v>3</v>
      </c>
      <c r="D102">
        <v>14</v>
      </c>
      <c r="E102">
        <v>4</v>
      </c>
      <c r="F102" t="s">
        <v>16</v>
      </c>
      <c r="G102" t="s">
        <v>25</v>
      </c>
      <c r="H102" t="s">
        <v>30</v>
      </c>
      <c r="I102" t="s">
        <v>19</v>
      </c>
      <c r="J102" t="s">
        <v>21</v>
      </c>
      <c r="K102" t="s">
        <v>21</v>
      </c>
      <c r="L102" t="s">
        <v>20</v>
      </c>
      <c r="M102" t="s">
        <v>21</v>
      </c>
      <c r="N102">
        <v>1</v>
      </c>
      <c r="O102" t="s">
        <v>27</v>
      </c>
      <c r="P102" t="s">
        <v>29</v>
      </c>
    </row>
    <row r="103" spans="1:16" x14ac:dyDescent="0.2">
      <c r="A103">
        <v>49</v>
      </c>
      <c r="B103">
        <v>3</v>
      </c>
      <c r="C103">
        <v>3</v>
      </c>
      <c r="D103">
        <v>14</v>
      </c>
      <c r="E103">
        <v>1</v>
      </c>
      <c r="F103" t="s">
        <v>16</v>
      </c>
      <c r="G103" t="s">
        <v>25</v>
      </c>
      <c r="H103" t="s">
        <v>18</v>
      </c>
      <c r="I103" t="s">
        <v>19</v>
      </c>
      <c r="J103" t="s">
        <v>20</v>
      </c>
      <c r="K103" t="s">
        <v>21</v>
      </c>
      <c r="L103" t="s">
        <v>20</v>
      </c>
      <c r="M103" t="s">
        <v>20</v>
      </c>
      <c r="N103">
        <v>1</v>
      </c>
      <c r="O103" t="s">
        <v>27</v>
      </c>
      <c r="P103" t="s">
        <v>29</v>
      </c>
    </row>
    <row r="104" spans="1:16" x14ac:dyDescent="0.2">
      <c r="A104">
        <v>51</v>
      </c>
      <c r="B104">
        <v>2</v>
      </c>
      <c r="C104">
        <v>6</v>
      </c>
      <c r="D104">
        <v>6</v>
      </c>
      <c r="E104">
        <v>3</v>
      </c>
      <c r="F104" t="s">
        <v>16</v>
      </c>
      <c r="G104" t="s">
        <v>25</v>
      </c>
      <c r="H104" t="s">
        <v>30</v>
      </c>
      <c r="I104" t="s">
        <v>19</v>
      </c>
      <c r="J104" t="s">
        <v>21</v>
      </c>
      <c r="K104" t="s">
        <v>21</v>
      </c>
      <c r="L104" t="s">
        <v>21</v>
      </c>
      <c r="M104" t="s">
        <v>20</v>
      </c>
      <c r="N104">
        <v>1</v>
      </c>
      <c r="O104" t="s">
        <v>27</v>
      </c>
      <c r="P104" t="s">
        <v>23</v>
      </c>
    </row>
    <row r="105" spans="1:16" x14ac:dyDescent="0.2">
      <c r="A105">
        <v>50</v>
      </c>
      <c r="B105">
        <v>1</v>
      </c>
      <c r="C105">
        <v>7</v>
      </c>
      <c r="D105">
        <v>1</v>
      </c>
      <c r="E105">
        <v>6</v>
      </c>
      <c r="F105" t="s">
        <v>24</v>
      </c>
      <c r="G105" t="s">
        <v>17</v>
      </c>
      <c r="H105" t="s">
        <v>18</v>
      </c>
      <c r="I105" t="s">
        <v>19</v>
      </c>
      <c r="J105" t="s">
        <v>20</v>
      </c>
      <c r="K105" t="s">
        <v>20</v>
      </c>
      <c r="L105" t="s">
        <v>20</v>
      </c>
      <c r="M105" t="s">
        <v>21</v>
      </c>
      <c r="N105">
        <v>1</v>
      </c>
      <c r="O105" t="s">
        <v>27</v>
      </c>
      <c r="P105" t="s">
        <v>23</v>
      </c>
    </row>
    <row r="106" spans="1:16" x14ac:dyDescent="0.2">
      <c r="A106">
        <v>39</v>
      </c>
      <c r="B106">
        <v>4</v>
      </c>
      <c r="C106">
        <v>5</v>
      </c>
      <c r="D106">
        <v>14</v>
      </c>
      <c r="E106">
        <v>4</v>
      </c>
      <c r="F106" t="s">
        <v>24</v>
      </c>
      <c r="G106" t="s">
        <v>17</v>
      </c>
      <c r="H106" t="s">
        <v>18</v>
      </c>
      <c r="I106" t="s">
        <v>19</v>
      </c>
      <c r="J106" t="s">
        <v>20</v>
      </c>
      <c r="K106" t="s">
        <v>20</v>
      </c>
      <c r="L106" t="s">
        <v>21</v>
      </c>
      <c r="M106" t="s">
        <v>20</v>
      </c>
      <c r="N106">
        <v>1</v>
      </c>
      <c r="O106" t="s">
        <v>27</v>
      </c>
      <c r="P106" t="s">
        <v>23</v>
      </c>
    </row>
    <row r="107" spans="1:16" x14ac:dyDescent="0.2">
      <c r="A107">
        <v>55</v>
      </c>
      <c r="B107">
        <v>3</v>
      </c>
      <c r="C107">
        <v>4</v>
      </c>
      <c r="D107">
        <v>7</v>
      </c>
      <c r="E107">
        <v>3</v>
      </c>
      <c r="F107" t="s">
        <v>16</v>
      </c>
      <c r="G107" t="s">
        <v>17</v>
      </c>
      <c r="H107" t="s">
        <v>18</v>
      </c>
      <c r="I107" t="s">
        <v>19</v>
      </c>
      <c r="J107" t="s">
        <v>20</v>
      </c>
      <c r="K107" t="s">
        <v>21</v>
      </c>
      <c r="L107" t="s">
        <v>21</v>
      </c>
      <c r="M107" t="s">
        <v>20</v>
      </c>
      <c r="N107">
        <v>0</v>
      </c>
      <c r="O107" t="s">
        <v>22</v>
      </c>
      <c r="P107" t="s">
        <v>29</v>
      </c>
    </row>
    <row r="108" spans="1:16" x14ac:dyDescent="0.2">
      <c r="A108">
        <v>57</v>
      </c>
      <c r="B108">
        <v>2</v>
      </c>
      <c r="C108">
        <v>5</v>
      </c>
      <c r="D108">
        <v>19</v>
      </c>
      <c r="E108">
        <v>1</v>
      </c>
      <c r="F108" t="s">
        <v>16</v>
      </c>
      <c r="G108" t="s">
        <v>25</v>
      </c>
      <c r="H108" t="s">
        <v>18</v>
      </c>
      <c r="I108" t="s">
        <v>19</v>
      </c>
      <c r="J108" t="s">
        <v>20</v>
      </c>
      <c r="K108" t="s">
        <v>21</v>
      </c>
      <c r="L108" t="s">
        <v>20</v>
      </c>
      <c r="M108" t="s">
        <v>21</v>
      </c>
      <c r="N108">
        <v>1</v>
      </c>
      <c r="O108" t="s">
        <v>27</v>
      </c>
      <c r="P108" t="s">
        <v>23</v>
      </c>
    </row>
    <row r="109" spans="1:16" x14ac:dyDescent="0.2">
      <c r="A109">
        <v>36</v>
      </c>
      <c r="B109">
        <v>4</v>
      </c>
      <c r="C109">
        <v>6</v>
      </c>
      <c r="D109">
        <v>1</v>
      </c>
      <c r="E109">
        <v>5</v>
      </c>
      <c r="F109" t="s">
        <v>16</v>
      </c>
      <c r="G109" t="s">
        <v>17</v>
      </c>
      <c r="H109" t="s">
        <v>18</v>
      </c>
      <c r="I109" t="s">
        <v>28</v>
      </c>
      <c r="J109" t="s">
        <v>20</v>
      </c>
      <c r="K109" t="s">
        <v>21</v>
      </c>
      <c r="L109" t="s">
        <v>20</v>
      </c>
      <c r="M109" t="s">
        <v>21</v>
      </c>
      <c r="N109">
        <v>0</v>
      </c>
      <c r="O109" t="s">
        <v>22</v>
      </c>
      <c r="P109" t="s">
        <v>23</v>
      </c>
    </row>
    <row r="110" spans="1:16" x14ac:dyDescent="0.2">
      <c r="A110">
        <v>55</v>
      </c>
      <c r="B110">
        <v>4</v>
      </c>
      <c r="C110">
        <v>5</v>
      </c>
      <c r="D110">
        <v>17</v>
      </c>
      <c r="E110">
        <v>7</v>
      </c>
      <c r="F110" t="s">
        <v>16</v>
      </c>
      <c r="G110" t="s">
        <v>17</v>
      </c>
      <c r="H110" t="s">
        <v>30</v>
      </c>
      <c r="I110" t="s">
        <v>28</v>
      </c>
      <c r="J110" t="s">
        <v>21</v>
      </c>
      <c r="K110" t="s">
        <v>21</v>
      </c>
      <c r="L110" t="s">
        <v>20</v>
      </c>
      <c r="M110" t="s">
        <v>21</v>
      </c>
      <c r="N110">
        <v>0</v>
      </c>
      <c r="O110" t="s">
        <v>22</v>
      </c>
      <c r="P110" t="s">
        <v>23</v>
      </c>
    </row>
    <row r="111" spans="1:16" x14ac:dyDescent="0.2">
      <c r="A111">
        <v>35</v>
      </c>
      <c r="B111">
        <v>1</v>
      </c>
      <c r="C111">
        <v>5</v>
      </c>
      <c r="D111">
        <v>0</v>
      </c>
      <c r="E111">
        <v>5</v>
      </c>
      <c r="F111" t="s">
        <v>24</v>
      </c>
      <c r="G111" t="s">
        <v>17</v>
      </c>
      <c r="H111" t="s">
        <v>18</v>
      </c>
      <c r="I111" t="s">
        <v>28</v>
      </c>
      <c r="J111" t="s">
        <v>21</v>
      </c>
      <c r="K111" t="s">
        <v>20</v>
      </c>
      <c r="L111" t="s">
        <v>21</v>
      </c>
      <c r="M111" t="s">
        <v>21</v>
      </c>
      <c r="N111">
        <v>1</v>
      </c>
      <c r="O111" t="s">
        <v>27</v>
      </c>
      <c r="P111" t="s">
        <v>23</v>
      </c>
    </row>
    <row r="112" spans="1:16" x14ac:dyDescent="0.2">
      <c r="A112">
        <v>46</v>
      </c>
      <c r="B112">
        <v>1</v>
      </c>
      <c r="C112">
        <v>2</v>
      </c>
      <c r="D112">
        <v>6</v>
      </c>
      <c r="E112">
        <v>6</v>
      </c>
      <c r="F112" t="s">
        <v>24</v>
      </c>
      <c r="G112" t="s">
        <v>17</v>
      </c>
      <c r="H112" t="s">
        <v>18</v>
      </c>
      <c r="I112" t="s">
        <v>28</v>
      </c>
      <c r="J112" t="s">
        <v>21</v>
      </c>
      <c r="K112" t="s">
        <v>20</v>
      </c>
      <c r="L112" t="s">
        <v>21</v>
      </c>
      <c r="M112" t="s">
        <v>20</v>
      </c>
      <c r="N112">
        <v>1</v>
      </c>
      <c r="O112" t="s">
        <v>27</v>
      </c>
      <c r="P112" t="s">
        <v>31</v>
      </c>
    </row>
    <row r="113" spans="1:16" x14ac:dyDescent="0.2">
      <c r="A113">
        <v>36</v>
      </c>
      <c r="B113">
        <v>1</v>
      </c>
      <c r="C113">
        <v>3</v>
      </c>
      <c r="D113">
        <v>9</v>
      </c>
      <c r="E113">
        <v>2</v>
      </c>
      <c r="F113" t="s">
        <v>24</v>
      </c>
      <c r="G113" t="s">
        <v>25</v>
      </c>
      <c r="H113" t="s">
        <v>18</v>
      </c>
      <c r="I113" t="s">
        <v>19</v>
      </c>
      <c r="J113" t="s">
        <v>20</v>
      </c>
      <c r="K113" t="s">
        <v>21</v>
      </c>
      <c r="L113" t="s">
        <v>20</v>
      </c>
      <c r="M113" t="s">
        <v>20</v>
      </c>
      <c r="N113">
        <v>2</v>
      </c>
      <c r="O113" t="s">
        <v>26</v>
      </c>
      <c r="P113" t="s">
        <v>29</v>
      </c>
    </row>
    <row r="114" spans="1:16" x14ac:dyDescent="0.2">
      <c r="A114">
        <v>35</v>
      </c>
      <c r="B114">
        <v>3</v>
      </c>
      <c r="C114">
        <v>6</v>
      </c>
      <c r="D114">
        <v>5</v>
      </c>
      <c r="E114">
        <v>6</v>
      </c>
      <c r="F114" t="s">
        <v>16</v>
      </c>
      <c r="G114" t="s">
        <v>25</v>
      </c>
      <c r="H114" t="s">
        <v>30</v>
      </c>
      <c r="I114" t="s">
        <v>19</v>
      </c>
      <c r="J114" t="s">
        <v>21</v>
      </c>
      <c r="K114" t="s">
        <v>21</v>
      </c>
      <c r="L114" t="s">
        <v>20</v>
      </c>
      <c r="M114" t="s">
        <v>21</v>
      </c>
      <c r="N114">
        <v>1</v>
      </c>
      <c r="O114" t="s">
        <v>27</v>
      </c>
      <c r="P114" t="s">
        <v>23</v>
      </c>
    </row>
    <row r="115" spans="1:16" x14ac:dyDescent="0.2">
      <c r="A115">
        <v>35</v>
      </c>
      <c r="B115">
        <v>2</v>
      </c>
      <c r="C115">
        <v>7</v>
      </c>
      <c r="D115">
        <v>2</v>
      </c>
      <c r="E115">
        <v>6</v>
      </c>
      <c r="F115" t="s">
        <v>16</v>
      </c>
      <c r="G115" t="s">
        <v>25</v>
      </c>
      <c r="H115" t="s">
        <v>18</v>
      </c>
      <c r="I115" t="s">
        <v>19</v>
      </c>
      <c r="J115" t="s">
        <v>20</v>
      </c>
      <c r="K115" t="s">
        <v>21</v>
      </c>
      <c r="L115" t="s">
        <v>20</v>
      </c>
      <c r="M115" t="s">
        <v>20</v>
      </c>
      <c r="N115">
        <v>1</v>
      </c>
      <c r="O115" t="s">
        <v>27</v>
      </c>
      <c r="P115" t="s">
        <v>23</v>
      </c>
    </row>
    <row r="116" spans="1:16" x14ac:dyDescent="0.2">
      <c r="A116">
        <v>39</v>
      </c>
      <c r="B116">
        <v>5</v>
      </c>
      <c r="C116">
        <v>1</v>
      </c>
      <c r="D116">
        <v>5</v>
      </c>
      <c r="E116">
        <v>7</v>
      </c>
      <c r="F116" t="s">
        <v>16</v>
      </c>
      <c r="G116" t="s">
        <v>17</v>
      </c>
      <c r="H116" t="s">
        <v>18</v>
      </c>
      <c r="I116" t="s">
        <v>19</v>
      </c>
      <c r="J116" t="s">
        <v>20</v>
      </c>
      <c r="K116" t="s">
        <v>21</v>
      </c>
      <c r="L116" t="s">
        <v>20</v>
      </c>
      <c r="M116" t="s">
        <v>20</v>
      </c>
      <c r="N116">
        <v>0</v>
      </c>
      <c r="O116" t="s">
        <v>22</v>
      </c>
      <c r="P116" t="s">
        <v>31</v>
      </c>
    </row>
    <row r="117" spans="1:16" x14ac:dyDescent="0.2">
      <c r="A117">
        <v>38</v>
      </c>
      <c r="B117">
        <v>4</v>
      </c>
      <c r="C117">
        <v>3</v>
      </c>
      <c r="D117">
        <v>10</v>
      </c>
      <c r="E117">
        <v>3</v>
      </c>
      <c r="F117" t="s">
        <v>24</v>
      </c>
      <c r="G117" t="s">
        <v>17</v>
      </c>
      <c r="H117" t="s">
        <v>18</v>
      </c>
      <c r="I117" t="s">
        <v>28</v>
      </c>
      <c r="J117" t="s">
        <v>20</v>
      </c>
      <c r="K117" t="s">
        <v>21</v>
      </c>
      <c r="L117" t="s">
        <v>21</v>
      </c>
      <c r="M117" t="s">
        <v>20</v>
      </c>
      <c r="N117">
        <v>1</v>
      </c>
      <c r="O117" t="s">
        <v>27</v>
      </c>
      <c r="P117" t="s">
        <v>29</v>
      </c>
    </row>
    <row r="118" spans="1:16" x14ac:dyDescent="0.2">
      <c r="A118">
        <v>46</v>
      </c>
      <c r="B118">
        <v>3</v>
      </c>
      <c r="C118">
        <v>3</v>
      </c>
      <c r="D118">
        <v>1</v>
      </c>
      <c r="E118">
        <v>6</v>
      </c>
      <c r="F118" t="s">
        <v>16</v>
      </c>
      <c r="G118" t="s">
        <v>25</v>
      </c>
      <c r="H118" t="s">
        <v>18</v>
      </c>
      <c r="I118" t="s">
        <v>19</v>
      </c>
      <c r="J118" t="s">
        <v>20</v>
      </c>
      <c r="K118" t="s">
        <v>20</v>
      </c>
      <c r="L118" t="s">
        <v>21</v>
      </c>
      <c r="M118" t="s">
        <v>20</v>
      </c>
      <c r="N118">
        <v>1</v>
      </c>
      <c r="O118" t="s">
        <v>27</v>
      </c>
      <c r="P118" t="s">
        <v>29</v>
      </c>
    </row>
    <row r="119" spans="1:16" x14ac:dyDescent="0.2">
      <c r="A119">
        <v>25</v>
      </c>
      <c r="B119">
        <v>4</v>
      </c>
      <c r="C119">
        <v>1</v>
      </c>
      <c r="D119">
        <v>0</v>
      </c>
      <c r="E119">
        <v>7</v>
      </c>
      <c r="F119" t="s">
        <v>16</v>
      </c>
      <c r="G119" t="s">
        <v>17</v>
      </c>
      <c r="H119" t="s">
        <v>18</v>
      </c>
      <c r="I119" t="s">
        <v>19</v>
      </c>
      <c r="J119" t="s">
        <v>20</v>
      </c>
      <c r="K119" t="s">
        <v>21</v>
      </c>
      <c r="L119" t="s">
        <v>21</v>
      </c>
      <c r="M119" t="s">
        <v>21</v>
      </c>
      <c r="N119">
        <v>0</v>
      </c>
      <c r="O119" t="s">
        <v>22</v>
      </c>
      <c r="P119" t="s">
        <v>31</v>
      </c>
    </row>
    <row r="120" spans="1:16" x14ac:dyDescent="0.2">
      <c r="A120">
        <v>44</v>
      </c>
      <c r="B120">
        <v>1</v>
      </c>
      <c r="C120">
        <v>6</v>
      </c>
      <c r="D120">
        <v>7</v>
      </c>
      <c r="E120">
        <v>4</v>
      </c>
      <c r="F120" t="s">
        <v>24</v>
      </c>
      <c r="G120" t="s">
        <v>17</v>
      </c>
      <c r="H120" t="s">
        <v>18</v>
      </c>
      <c r="I120" t="s">
        <v>19</v>
      </c>
      <c r="J120" t="s">
        <v>20</v>
      </c>
      <c r="K120" t="s">
        <v>21</v>
      </c>
      <c r="L120" t="s">
        <v>20</v>
      </c>
      <c r="M120" t="s">
        <v>21</v>
      </c>
      <c r="N120">
        <v>1</v>
      </c>
      <c r="O120" t="s">
        <v>27</v>
      </c>
      <c r="P120" t="s">
        <v>23</v>
      </c>
    </row>
    <row r="121" spans="1:16" x14ac:dyDescent="0.2">
      <c r="A121">
        <v>21</v>
      </c>
      <c r="B121">
        <v>1</v>
      </c>
      <c r="C121">
        <v>6</v>
      </c>
      <c r="D121">
        <v>2</v>
      </c>
      <c r="E121">
        <v>5</v>
      </c>
      <c r="F121" t="s">
        <v>16</v>
      </c>
      <c r="G121" t="s">
        <v>17</v>
      </c>
      <c r="H121" t="s">
        <v>18</v>
      </c>
      <c r="I121" t="s">
        <v>28</v>
      </c>
      <c r="J121" t="s">
        <v>20</v>
      </c>
      <c r="K121" t="s">
        <v>20</v>
      </c>
      <c r="L121" t="s">
        <v>21</v>
      </c>
      <c r="M121" t="s">
        <v>21</v>
      </c>
      <c r="N121">
        <v>0</v>
      </c>
      <c r="O121" t="s">
        <v>22</v>
      </c>
      <c r="P121" t="s">
        <v>23</v>
      </c>
    </row>
    <row r="122" spans="1:16" x14ac:dyDescent="0.2">
      <c r="A122">
        <v>19</v>
      </c>
      <c r="B122">
        <v>5</v>
      </c>
      <c r="C122">
        <v>1</v>
      </c>
      <c r="D122">
        <v>3</v>
      </c>
      <c r="E122">
        <v>1</v>
      </c>
      <c r="F122" t="s">
        <v>24</v>
      </c>
      <c r="G122" t="s">
        <v>25</v>
      </c>
      <c r="H122" t="s">
        <v>18</v>
      </c>
      <c r="I122" t="s">
        <v>28</v>
      </c>
      <c r="J122" t="s">
        <v>20</v>
      </c>
      <c r="K122" t="s">
        <v>20</v>
      </c>
      <c r="L122" t="s">
        <v>20</v>
      </c>
      <c r="M122" t="s">
        <v>21</v>
      </c>
      <c r="N122">
        <v>2</v>
      </c>
      <c r="O122" t="s">
        <v>26</v>
      </c>
      <c r="P122" t="s">
        <v>31</v>
      </c>
    </row>
    <row r="123" spans="1:16" x14ac:dyDescent="0.2">
      <c r="A123">
        <v>26</v>
      </c>
      <c r="B123">
        <v>3</v>
      </c>
      <c r="C123">
        <v>4</v>
      </c>
      <c r="D123">
        <v>1</v>
      </c>
      <c r="E123">
        <v>3</v>
      </c>
      <c r="F123" t="s">
        <v>16</v>
      </c>
      <c r="G123" t="s">
        <v>25</v>
      </c>
      <c r="H123" t="s">
        <v>18</v>
      </c>
      <c r="I123" t="s">
        <v>19</v>
      </c>
      <c r="J123" t="s">
        <v>21</v>
      </c>
      <c r="K123" t="s">
        <v>20</v>
      </c>
      <c r="L123" t="s">
        <v>20</v>
      </c>
      <c r="M123" t="s">
        <v>21</v>
      </c>
      <c r="N123">
        <v>1</v>
      </c>
      <c r="O123" t="s">
        <v>27</v>
      </c>
      <c r="P123" t="s">
        <v>29</v>
      </c>
    </row>
    <row r="124" spans="1:16" x14ac:dyDescent="0.2">
      <c r="A124">
        <v>45</v>
      </c>
      <c r="B124">
        <v>1</v>
      </c>
      <c r="C124">
        <v>6</v>
      </c>
      <c r="D124">
        <v>12</v>
      </c>
      <c r="E124">
        <v>6</v>
      </c>
      <c r="F124" t="s">
        <v>16</v>
      </c>
      <c r="G124" t="s">
        <v>17</v>
      </c>
      <c r="H124" t="s">
        <v>18</v>
      </c>
      <c r="I124" t="s">
        <v>19</v>
      </c>
      <c r="J124" t="s">
        <v>21</v>
      </c>
      <c r="K124" t="s">
        <v>21</v>
      </c>
      <c r="L124" t="s">
        <v>20</v>
      </c>
      <c r="M124" t="s">
        <v>20</v>
      </c>
      <c r="N124">
        <v>0</v>
      </c>
      <c r="O124" t="s">
        <v>22</v>
      </c>
      <c r="P124" t="s">
        <v>23</v>
      </c>
    </row>
    <row r="125" spans="1:16" x14ac:dyDescent="0.2">
      <c r="A125">
        <v>42</v>
      </c>
      <c r="B125">
        <v>3</v>
      </c>
      <c r="C125">
        <v>7</v>
      </c>
      <c r="D125">
        <v>5</v>
      </c>
      <c r="E125">
        <v>1</v>
      </c>
      <c r="F125" t="s">
        <v>24</v>
      </c>
      <c r="G125" t="s">
        <v>17</v>
      </c>
      <c r="H125" t="s">
        <v>18</v>
      </c>
      <c r="I125" t="s">
        <v>28</v>
      </c>
      <c r="J125" t="s">
        <v>20</v>
      </c>
      <c r="K125" t="s">
        <v>21</v>
      </c>
      <c r="L125" t="s">
        <v>20</v>
      </c>
      <c r="M125" t="s">
        <v>21</v>
      </c>
      <c r="N125">
        <v>1</v>
      </c>
      <c r="O125" t="s">
        <v>27</v>
      </c>
      <c r="P125" t="s">
        <v>23</v>
      </c>
    </row>
    <row r="126" spans="1:16" x14ac:dyDescent="0.2">
      <c r="A126">
        <v>43</v>
      </c>
      <c r="B126">
        <v>4</v>
      </c>
      <c r="C126">
        <v>7</v>
      </c>
      <c r="D126">
        <v>10</v>
      </c>
      <c r="E126">
        <v>6</v>
      </c>
      <c r="F126" t="s">
        <v>16</v>
      </c>
      <c r="G126" t="s">
        <v>25</v>
      </c>
      <c r="H126" t="s">
        <v>18</v>
      </c>
      <c r="I126" t="s">
        <v>19</v>
      </c>
      <c r="J126" t="s">
        <v>20</v>
      </c>
      <c r="K126" t="s">
        <v>20</v>
      </c>
      <c r="L126" t="s">
        <v>21</v>
      </c>
      <c r="M126" t="s">
        <v>20</v>
      </c>
      <c r="N126">
        <v>1</v>
      </c>
      <c r="O126" t="s">
        <v>27</v>
      </c>
      <c r="P126" t="s">
        <v>23</v>
      </c>
    </row>
    <row r="127" spans="1:16" x14ac:dyDescent="0.2">
      <c r="A127">
        <v>27</v>
      </c>
      <c r="B127">
        <v>2</v>
      </c>
      <c r="C127">
        <v>2</v>
      </c>
      <c r="D127">
        <v>14</v>
      </c>
      <c r="E127">
        <v>3</v>
      </c>
      <c r="F127" t="s">
        <v>16</v>
      </c>
      <c r="G127" t="s">
        <v>17</v>
      </c>
      <c r="H127" t="s">
        <v>18</v>
      </c>
      <c r="I127" t="s">
        <v>19</v>
      </c>
      <c r="J127" t="s">
        <v>20</v>
      </c>
      <c r="K127" t="s">
        <v>21</v>
      </c>
      <c r="L127" t="s">
        <v>21</v>
      </c>
      <c r="M127" t="s">
        <v>21</v>
      </c>
      <c r="N127">
        <v>0</v>
      </c>
      <c r="O127" t="s">
        <v>22</v>
      </c>
      <c r="P127" t="s">
        <v>31</v>
      </c>
    </row>
    <row r="128" spans="1:16" x14ac:dyDescent="0.2">
      <c r="A128">
        <v>55</v>
      </c>
      <c r="B128">
        <v>3</v>
      </c>
      <c r="C128">
        <v>2</v>
      </c>
      <c r="D128">
        <v>8</v>
      </c>
      <c r="E128">
        <v>2</v>
      </c>
      <c r="F128" t="s">
        <v>24</v>
      </c>
      <c r="G128" t="s">
        <v>25</v>
      </c>
      <c r="H128" t="s">
        <v>30</v>
      </c>
      <c r="I128" t="s">
        <v>28</v>
      </c>
      <c r="J128" t="s">
        <v>20</v>
      </c>
      <c r="K128" t="s">
        <v>21</v>
      </c>
      <c r="L128" t="s">
        <v>20</v>
      </c>
      <c r="M128" t="s">
        <v>21</v>
      </c>
      <c r="N128">
        <v>2</v>
      </c>
      <c r="O128" t="s">
        <v>26</v>
      </c>
      <c r="P128" t="s">
        <v>31</v>
      </c>
    </row>
    <row r="129" spans="1:16" x14ac:dyDescent="0.2">
      <c r="A129">
        <v>51</v>
      </c>
      <c r="B129">
        <v>2</v>
      </c>
      <c r="C129">
        <v>3</v>
      </c>
      <c r="D129">
        <v>8</v>
      </c>
      <c r="E129">
        <v>5</v>
      </c>
      <c r="F129" t="s">
        <v>24</v>
      </c>
      <c r="G129" t="s">
        <v>25</v>
      </c>
      <c r="H129" t="s">
        <v>30</v>
      </c>
      <c r="I129" t="s">
        <v>19</v>
      </c>
      <c r="J129" t="s">
        <v>21</v>
      </c>
      <c r="K129" t="s">
        <v>20</v>
      </c>
      <c r="L129" t="s">
        <v>20</v>
      </c>
      <c r="M129" t="s">
        <v>20</v>
      </c>
      <c r="N129">
        <v>2</v>
      </c>
      <c r="O129" t="s">
        <v>26</v>
      </c>
      <c r="P129" t="s">
        <v>29</v>
      </c>
    </row>
    <row r="130" spans="1:16" x14ac:dyDescent="0.2">
      <c r="A130">
        <v>57</v>
      </c>
      <c r="B130">
        <v>4</v>
      </c>
      <c r="C130">
        <v>5</v>
      </c>
      <c r="D130">
        <v>13</v>
      </c>
      <c r="E130">
        <v>7</v>
      </c>
      <c r="F130" t="s">
        <v>24</v>
      </c>
      <c r="G130" t="s">
        <v>17</v>
      </c>
      <c r="H130" t="s">
        <v>30</v>
      </c>
      <c r="I130" t="s">
        <v>28</v>
      </c>
      <c r="J130" t="s">
        <v>20</v>
      </c>
      <c r="K130" t="s">
        <v>21</v>
      </c>
      <c r="L130" t="s">
        <v>20</v>
      </c>
      <c r="M130" t="s">
        <v>21</v>
      </c>
      <c r="N130">
        <v>1</v>
      </c>
      <c r="O130" t="s">
        <v>27</v>
      </c>
      <c r="P130" t="s">
        <v>23</v>
      </c>
    </row>
    <row r="131" spans="1:16" x14ac:dyDescent="0.2">
      <c r="A131">
        <v>56</v>
      </c>
      <c r="B131">
        <v>1</v>
      </c>
      <c r="C131">
        <v>5</v>
      </c>
      <c r="D131">
        <v>3</v>
      </c>
      <c r="E131">
        <v>5</v>
      </c>
      <c r="F131" t="s">
        <v>16</v>
      </c>
      <c r="G131" t="s">
        <v>25</v>
      </c>
      <c r="H131" t="s">
        <v>18</v>
      </c>
      <c r="I131" t="s">
        <v>28</v>
      </c>
      <c r="J131" t="s">
        <v>21</v>
      </c>
      <c r="K131" t="s">
        <v>20</v>
      </c>
      <c r="L131" t="s">
        <v>21</v>
      </c>
      <c r="M131" t="s">
        <v>20</v>
      </c>
      <c r="N131">
        <v>1</v>
      </c>
      <c r="O131" t="s">
        <v>27</v>
      </c>
      <c r="P131" t="s">
        <v>23</v>
      </c>
    </row>
    <row r="132" spans="1:16" x14ac:dyDescent="0.2">
      <c r="A132">
        <v>42</v>
      </c>
      <c r="B132">
        <v>2</v>
      </c>
      <c r="C132">
        <v>2</v>
      </c>
      <c r="D132">
        <v>0</v>
      </c>
      <c r="E132">
        <v>3</v>
      </c>
      <c r="F132" t="s">
        <v>24</v>
      </c>
      <c r="G132" t="s">
        <v>25</v>
      </c>
      <c r="H132" t="s">
        <v>18</v>
      </c>
      <c r="I132" t="s">
        <v>28</v>
      </c>
      <c r="J132" t="s">
        <v>20</v>
      </c>
      <c r="K132" t="s">
        <v>21</v>
      </c>
      <c r="L132" t="s">
        <v>20</v>
      </c>
      <c r="M132" t="s">
        <v>20</v>
      </c>
      <c r="N132">
        <v>2</v>
      </c>
      <c r="O132" t="s">
        <v>26</v>
      </c>
      <c r="P132" t="s">
        <v>31</v>
      </c>
    </row>
    <row r="133" spans="1:16" x14ac:dyDescent="0.2">
      <c r="A133">
        <v>36</v>
      </c>
      <c r="B133">
        <v>4</v>
      </c>
      <c r="C133">
        <v>1</v>
      </c>
      <c r="D133">
        <v>11</v>
      </c>
      <c r="E133">
        <v>5</v>
      </c>
      <c r="F133" t="s">
        <v>24</v>
      </c>
      <c r="G133" t="s">
        <v>25</v>
      </c>
      <c r="H133" t="s">
        <v>30</v>
      </c>
      <c r="I133" t="s">
        <v>28</v>
      </c>
      <c r="J133" t="s">
        <v>21</v>
      </c>
      <c r="K133" t="s">
        <v>20</v>
      </c>
      <c r="L133" t="s">
        <v>20</v>
      </c>
      <c r="M133" t="s">
        <v>20</v>
      </c>
      <c r="N133">
        <v>2</v>
      </c>
      <c r="O133" t="s">
        <v>26</v>
      </c>
      <c r="P133" t="s">
        <v>31</v>
      </c>
    </row>
    <row r="134" spans="1:16" x14ac:dyDescent="0.2">
      <c r="A134">
        <v>54</v>
      </c>
      <c r="B134">
        <v>2</v>
      </c>
      <c r="C134">
        <v>6</v>
      </c>
      <c r="D134">
        <v>8</v>
      </c>
      <c r="E134">
        <v>4</v>
      </c>
      <c r="F134" t="s">
        <v>24</v>
      </c>
      <c r="G134" t="s">
        <v>17</v>
      </c>
      <c r="H134" t="s">
        <v>18</v>
      </c>
      <c r="I134" t="s">
        <v>19</v>
      </c>
      <c r="J134" t="s">
        <v>20</v>
      </c>
      <c r="K134" t="s">
        <v>21</v>
      </c>
      <c r="L134" t="s">
        <v>20</v>
      </c>
      <c r="M134" t="s">
        <v>20</v>
      </c>
      <c r="N134">
        <v>1</v>
      </c>
      <c r="O134" t="s">
        <v>27</v>
      </c>
      <c r="P134" t="s">
        <v>23</v>
      </c>
    </row>
    <row r="135" spans="1:16" x14ac:dyDescent="0.2">
      <c r="A135">
        <v>60</v>
      </c>
      <c r="B135">
        <v>2</v>
      </c>
      <c r="C135">
        <v>5</v>
      </c>
      <c r="D135">
        <v>13</v>
      </c>
      <c r="E135">
        <v>2</v>
      </c>
      <c r="F135" t="s">
        <v>24</v>
      </c>
      <c r="G135" t="s">
        <v>17</v>
      </c>
      <c r="H135" t="s">
        <v>30</v>
      </c>
      <c r="I135" t="s">
        <v>19</v>
      </c>
      <c r="J135" t="s">
        <v>21</v>
      </c>
      <c r="K135" t="s">
        <v>21</v>
      </c>
      <c r="L135" t="s">
        <v>20</v>
      </c>
      <c r="M135" t="s">
        <v>20</v>
      </c>
      <c r="N135">
        <v>1</v>
      </c>
      <c r="O135" t="s">
        <v>27</v>
      </c>
      <c r="P135" t="s">
        <v>23</v>
      </c>
    </row>
    <row r="136" spans="1:16" x14ac:dyDescent="0.2">
      <c r="A136">
        <v>50</v>
      </c>
      <c r="B136">
        <v>2</v>
      </c>
      <c r="C136">
        <v>2</v>
      </c>
      <c r="D136">
        <v>10</v>
      </c>
      <c r="E136">
        <v>6</v>
      </c>
      <c r="F136" t="s">
        <v>24</v>
      </c>
      <c r="G136" t="s">
        <v>17</v>
      </c>
      <c r="H136" t="s">
        <v>18</v>
      </c>
      <c r="I136" t="s">
        <v>28</v>
      </c>
      <c r="J136" t="s">
        <v>21</v>
      </c>
      <c r="K136" t="s">
        <v>20</v>
      </c>
      <c r="L136" t="s">
        <v>20</v>
      </c>
      <c r="M136" t="s">
        <v>21</v>
      </c>
      <c r="N136">
        <v>1</v>
      </c>
      <c r="O136" t="s">
        <v>27</v>
      </c>
      <c r="P136" t="s">
        <v>31</v>
      </c>
    </row>
    <row r="137" spans="1:16" x14ac:dyDescent="0.2">
      <c r="A137">
        <v>21</v>
      </c>
      <c r="B137">
        <v>1</v>
      </c>
      <c r="C137">
        <v>3</v>
      </c>
      <c r="D137">
        <v>16</v>
      </c>
      <c r="E137">
        <v>2</v>
      </c>
      <c r="F137" t="s">
        <v>16</v>
      </c>
      <c r="G137" t="s">
        <v>25</v>
      </c>
      <c r="H137" t="s">
        <v>18</v>
      </c>
      <c r="I137" t="s">
        <v>19</v>
      </c>
      <c r="J137" t="s">
        <v>20</v>
      </c>
      <c r="K137" t="s">
        <v>20</v>
      </c>
      <c r="L137" t="s">
        <v>21</v>
      </c>
      <c r="M137" t="s">
        <v>21</v>
      </c>
      <c r="N137">
        <v>1</v>
      </c>
      <c r="O137" t="s">
        <v>27</v>
      </c>
      <c r="P137" t="s">
        <v>29</v>
      </c>
    </row>
    <row r="138" spans="1:16" x14ac:dyDescent="0.2">
      <c r="A138">
        <v>34</v>
      </c>
      <c r="B138">
        <v>5</v>
      </c>
      <c r="C138">
        <v>1</v>
      </c>
      <c r="D138">
        <v>3</v>
      </c>
      <c r="E138">
        <v>5</v>
      </c>
      <c r="F138" t="s">
        <v>24</v>
      </c>
      <c r="G138" t="s">
        <v>25</v>
      </c>
      <c r="H138" t="s">
        <v>18</v>
      </c>
      <c r="I138" t="s">
        <v>19</v>
      </c>
      <c r="J138" t="s">
        <v>20</v>
      </c>
      <c r="K138" t="s">
        <v>20</v>
      </c>
      <c r="L138" t="s">
        <v>20</v>
      </c>
      <c r="M138" t="s">
        <v>20</v>
      </c>
      <c r="N138">
        <v>2</v>
      </c>
      <c r="O138" t="s">
        <v>26</v>
      </c>
      <c r="P138" t="s">
        <v>31</v>
      </c>
    </row>
    <row r="139" spans="1:16" x14ac:dyDescent="0.2">
      <c r="A139">
        <v>50</v>
      </c>
      <c r="B139">
        <v>3</v>
      </c>
      <c r="C139">
        <v>1</v>
      </c>
      <c r="D139">
        <v>9</v>
      </c>
      <c r="E139">
        <v>7</v>
      </c>
      <c r="F139" t="s">
        <v>24</v>
      </c>
      <c r="G139" t="s">
        <v>25</v>
      </c>
      <c r="H139" t="s">
        <v>30</v>
      </c>
      <c r="I139" t="s">
        <v>19</v>
      </c>
      <c r="J139" t="s">
        <v>21</v>
      </c>
      <c r="K139" t="s">
        <v>20</v>
      </c>
      <c r="L139" t="s">
        <v>20</v>
      </c>
      <c r="M139" t="s">
        <v>20</v>
      </c>
      <c r="N139">
        <v>2</v>
      </c>
      <c r="O139" t="s">
        <v>26</v>
      </c>
      <c r="P139" t="s">
        <v>31</v>
      </c>
    </row>
    <row r="140" spans="1:16" x14ac:dyDescent="0.2">
      <c r="A140">
        <v>32</v>
      </c>
      <c r="B140">
        <v>1</v>
      </c>
      <c r="C140">
        <v>5</v>
      </c>
      <c r="D140">
        <v>20</v>
      </c>
      <c r="E140">
        <v>3</v>
      </c>
      <c r="F140" t="s">
        <v>16</v>
      </c>
      <c r="G140" t="s">
        <v>25</v>
      </c>
      <c r="H140" t="s">
        <v>30</v>
      </c>
      <c r="I140" t="s">
        <v>19</v>
      </c>
      <c r="J140" t="s">
        <v>21</v>
      </c>
      <c r="K140" t="s">
        <v>21</v>
      </c>
      <c r="L140" t="s">
        <v>20</v>
      </c>
      <c r="M140" t="s">
        <v>20</v>
      </c>
      <c r="N140">
        <v>1</v>
      </c>
      <c r="O140" t="s">
        <v>27</v>
      </c>
      <c r="P140" t="s">
        <v>23</v>
      </c>
    </row>
    <row r="141" spans="1:16" x14ac:dyDescent="0.2">
      <c r="A141">
        <v>35</v>
      </c>
      <c r="B141">
        <v>1</v>
      </c>
      <c r="C141">
        <v>3</v>
      </c>
      <c r="D141">
        <v>3</v>
      </c>
      <c r="E141">
        <v>7</v>
      </c>
      <c r="F141" t="s">
        <v>16</v>
      </c>
      <c r="G141" t="s">
        <v>17</v>
      </c>
      <c r="H141" t="s">
        <v>18</v>
      </c>
      <c r="I141" t="s">
        <v>19</v>
      </c>
      <c r="J141" t="s">
        <v>21</v>
      </c>
      <c r="K141" t="s">
        <v>21</v>
      </c>
      <c r="L141" t="s">
        <v>20</v>
      </c>
      <c r="M141" t="s">
        <v>20</v>
      </c>
      <c r="N141">
        <v>0</v>
      </c>
      <c r="O141" t="s">
        <v>22</v>
      </c>
      <c r="P141" t="s">
        <v>29</v>
      </c>
    </row>
    <row r="142" spans="1:16" x14ac:dyDescent="0.2">
      <c r="A142">
        <v>18</v>
      </c>
      <c r="B142">
        <v>1</v>
      </c>
      <c r="C142">
        <v>4</v>
      </c>
      <c r="D142">
        <v>0</v>
      </c>
      <c r="E142">
        <v>2</v>
      </c>
      <c r="F142" t="s">
        <v>24</v>
      </c>
      <c r="G142" t="s">
        <v>17</v>
      </c>
      <c r="H142" t="s">
        <v>18</v>
      </c>
      <c r="I142" t="s">
        <v>28</v>
      </c>
      <c r="J142" t="s">
        <v>21</v>
      </c>
      <c r="K142" t="s">
        <v>21</v>
      </c>
      <c r="L142" t="s">
        <v>21</v>
      </c>
      <c r="M142" t="s">
        <v>21</v>
      </c>
      <c r="N142">
        <v>1</v>
      </c>
      <c r="O142" t="s">
        <v>27</v>
      </c>
      <c r="P142" t="s">
        <v>29</v>
      </c>
    </row>
    <row r="143" spans="1:16" x14ac:dyDescent="0.2">
      <c r="A143">
        <v>46</v>
      </c>
      <c r="B143">
        <v>1</v>
      </c>
      <c r="C143">
        <v>5</v>
      </c>
      <c r="D143">
        <v>1</v>
      </c>
      <c r="E143">
        <v>4</v>
      </c>
      <c r="F143" t="s">
        <v>24</v>
      </c>
      <c r="G143" t="s">
        <v>17</v>
      </c>
      <c r="H143" t="s">
        <v>18</v>
      </c>
      <c r="I143" t="s">
        <v>28</v>
      </c>
      <c r="J143" t="s">
        <v>20</v>
      </c>
      <c r="K143" t="s">
        <v>21</v>
      </c>
      <c r="L143" t="s">
        <v>20</v>
      </c>
      <c r="M143" t="s">
        <v>21</v>
      </c>
      <c r="N143">
        <v>1</v>
      </c>
      <c r="O143" t="s">
        <v>27</v>
      </c>
      <c r="P143" t="s">
        <v>23</v>
      </c>
    </row>
    <row r="144" spans="1:16" x14ac:dyDescent="0.2">
      <c r="A144">
        <v>49</v>
      </c>
      <c r="B144">
        <v>4</v>
      </c>
      <c r="C144">
        <v>1</v>
      </c>
      <c r="D144">
        <v>6</v>
      </c>
      <c r="E144">
        <v>5</v>
      </c>
      <c r="F144" t="s">
        <v>16</v>
      </c>
      <c r="G144" t="s">
        <v>17</v>
      </c>
      <c r="H144" t="s">
        <v>18</v>
      </c>
      <c r="I144" t="s">
        <v>19</v>
      </c>
      <c r="J144" t="s">
        <v>21</v>
      </c>
      <c r="K144" t="s">
        <v>21</v>
      </c>
      <c r="L144" t="s">
        <v>21</v>
      </c>
      <c r="M144" t="s">
        <v>21</v>
      </c>
      <c r="N144">
        <v>0</v>
      </c>
      <c r="O144" t="s">
        <v>22</v>
      </c>
      <c r="P144" t="s">
        <v>31</v>
      </c>
    </row>
    <row r="145" spans="1:16" x14ac:dyDescent="0.2">
      <c r="A145">
        <v>40</v>
      </c>
      <c r="B145">
        <v>5</v>
      </c>
      <c r="C145">
        <v>5</v>
      </c>
      <c r="D145">
        <v>11</v>
      </c>
      <c r="E145">
        <v>1</v>
      </c>
      <c r="F145" t="s">
        <v>24</v>
      </c>
      <c r="G145" t="s">
        <v>25</v>
      </c>
      <c r="H145" t="s">
        <v>18</v>
      </c>
      <c r="I145" t="s">
        <v>28</v>
      </c>
      <c r="J145" t="s">
        <v>20</v>
      </c>
      <c r="K145" t="s">
        <v>20</v>
      </c>
      <c r="L145" t="s">
        <v>20</v>
      </c>
      <c r="M145" t="s">
        <v>21</v>
      </c>
      <c r="N145">
        <v>2</v>
      </c>
      <c r="O145" t="s">
        <v>26</v>
      </c>
      <c r="P145" t="s">
        <v>23</v>
      </c>
    </row>
    <row r="146" spans="1:16" x14ac:dyDescent="0.2">
      <c r="A146">
        <v>27</v>
      </c>
      <c r="B146">
        <v>5</v>
      </c>
      <c r="C146">
        <v>2</v>
      </c>
      <c r="D146">
        <v>14</v>
      </c>
      <c r="E146">
        <v>1</v>
      </c>
      <c r="F146" t="s">
        <v>24</v>
      </c>
      <c r="G146" t="s">
        <v>17</v>
      </c>
      <c r="H146" t="s">
        <v>18</v>
      </c>
      <c r="I146" t="s">
        <v>19</v>
      </c>
      <c r="J146" t="s">
        <v>20</v>
      </c>
      <c r="K146" t="s">
        <v>20</v>
      </c>
      <c r="L146" t="s">
        <v>21</v>
      </c>
      <c r="M146" t="s">
        <v>21</v>
      </c>
      <c r="N146">
        <v>1</v>
      </c>
      <c r="O146" t="s">
        <v>27</v>
      </c>
      <c r="P146" t="s">
        <v>31</v>
      </c>
    </row>
    <row r="147" spans="1:16" x14ac:dyDescent="0.2">
      <c r="A147">
        <v>34</v>
      </c>
      <c r="B147">
        <v>2</v>
      </c>
      <c r="C147">
        <v>4</v>
      </c>
      <c r="D147">
        <v>12</v>
      </c>
      <c r="E147">
        <v>6</v>
      </c>
      <c r="F147" t="s">
        <v>24</v>
      </c>
      <c r="G147" t="s">
        <v>25</v>
      </c>
      <c r="H147" t="s">
        <v>30</v>
      </c>
      <c r="I147" t="s">
        <v>19</v>
      </c>
      <c r="J147" t="s">
        <v>20</v>
      </c>
      <c r="K147" t="s">
        <v>21</v>
      </c>
      <c r="L147" t="s">
        <v>20</v>
      </c>
      <c r="M147" t="s">
        <v>20</v>
      </c>
      <c r="N147">
        <v>2</v>
      </c>
      <c r="O147" t="s">
        <v>26</v>
      </c>
      <c r="P147" t="s">
        <v>29</v>
      </c>
    </row>
    <row r="148" spans="1:16" x14ac:dyDescent="0.2">
      <c r="A148">
        <v>30</v>
      </c>
      <c r="B148">
        <v>3</v>
      </c>
      <c r="C148">
        <v>6</v>
      </c>
      <c r="D148">
        <v>18</v>
      </c>
      <c r="E148">
        <v>5</v>
      </c>
      <c r="F148" t="s">
        <v>24</v>
      </c>
      <c r="G148" t="s">
        <v>25</v>
      </c>
      <c r="H148" t="s">
        <v>30</v>
      </c>
      <c r="I148" t="s">
        <v>19</v>
      </c>
      <c r="J148" t="s">
        <v>21</v>
      </c>
      <c r="K148" t="s">
        <v>21</v>
      </c>
      <c r="L148" t="s">
        <v>21</v>
      </c>
      <c r="M148" t="s">
        <v>20</v>
      </c>
      <c r="N148">
        <v>2</v>
      </c>
      <c r="O148" t="s">
        <v>26</v>
      </c>
      <c r="P148" t="s">
        <v>23</v>
      </c>
    </row>
    <row r="149" spans="1:16" x14ac:dyDescent="0.2">
      <c r="A149">
        <v>40</v>
      </c>
      <c r="B149">
        <v>3</v>
      </c>
      <c r="C149">
        <v>2</v>
      </c>
      <c r="D149">
        <v>9</v>
      </c>
      <c r="E149">
        <v>1</v>
      </c>
      <c r="F149" t="s">
        <v>16</v>
      </c>
      <c r="G149" t="s">
        <v>17</v>
      </c>
      <c r="H149" t="s">
        <v>18</v>
      </c>
      <c r="I149" t="s">
        <v>28</v>
      </c>
      <c r="J149" t="s">
        <v>20</v>
      </c>
      <c r="K149" t="s">
        <v>20</v>
      </c>
      <c r="L149" t="s">
        <v>21</v>
      </c>
      <c r="M149" t="s">
        <v>20</v>
      </c>
      <c r="N149">
        <v>0</v>
      </c>
      <c r="O149" t="s">
        <v>22</v>
      </c>
      <c r="P149" t="s">
        <v>31</v>
      </c>
    </row>
    <row r="150" spans="1:16" x14ac:dyDescent="0.2">
      <c r="A150">
        <v>54</v>
      </c>
      <c r="B150">
        <v>1</v>
      </c>
      <c r="C150">
        <v>6</v>
      </c>
      <c r="D150">
        <v>8</v>
      </c>
      <c r="E150">
        <v>4</v>
      </c>
      <c r="F150" t="s">
        <v>24</v>
      </c>
      <c r="G150" t="s">
        <v>25</v>
      </c>
      <c r="H150" t="s">
        <v>30</v>
      </c>
      <c r="I150" t="s">
        <v>19</v>
      </c>
      <c r="J150" t="s">
        <v>21</v>
      </c>
      <c r="K150" t="s">
        <v>20</v>
      </c>
      <c r="L150" t="s">
        <v>20</v>
      </c>
      <c r="M150" t="s">
        <v>20</v>
      </c>
      <c r="N150">
        <v>2</v>
      </c>
      <c r="O150" t="s">
        <v>26</v>
      </c>
      <c r="P150" t="s">
        <v>23</v>
      </c>
    </row>
    <row r="151" spans="1:16" x14ac:dyDescent="0.2">
      <c r="A151">
        <v>53</v>
      </c>
      <c r="B151">
        <v>2</v>
      </c>
      <c r="C151">
        <v>4</v>
      </c>
      <c r="D151">
        <v>14</v>
      </c>
      <c r="E151">
        <v>1</v>
      </c>
      <c r="F151" t="s">
        <v>16</v>
      </c>
      <c r="G151" t="s">
        <v>25</v>
      </c>
      <c r="H151" t="s">
        <v>18</v>
      </c>
      <c r="I151" t="s">
        <v>28</v>
      </c>
      <c r="J151" t="s">
        <v>20</v>
      </c>
      <c r="K151" t="s">
        <v>20</v>
      </c>
      <c r="L151" t="s">
        <v>20</v>
      </c>
      <c r="M151" t="s">
        <v>21</v>
      </c>
      <c r="N151">
        <v>1</v>
      </c>
      <c r="O151" t="s">
        <v>27</v>
      </c>
      <c r="P151" t="s">
        <v>29</v>
      </c>
    </row>
    <row r="152" spans="1:16" x14ac:dyDescent="0.2">
      <c r="A152">
        <v>57</v>
      </c>
      <c r="B152">
        <v>4</v>
      </c>
      <c r="C152">
        <v>6</v>
      </c>
      <c r="D152">
        <v>1</v>
      </c>
      <c r="E152">
        <v>3</v>
      </c>
      <c r="F152" t="s">
        <v>16</v>
      </c>
      <c r="G152" t="s">
        <v>25</v>
      </c>
      <c r="H152" t="s">
        <v>18</v>
      </c>
      <c r="I152" t="s">
        <v>28</v>
      </c>
      <c r="J152" t="s">
        <v>21</v>
      </c>
      <c r="K152" t="s">
        <v>20</v>
      </c>
      <c r="L152" t="s">
        <v>20</v>
      </c>
      <c r="M152" t="s">
        <v>21</v>
      </c>
      <c r="N152">
        <v>1</v>
      </c>
      <c r="O152" t="s">
        <v>27</v>
      </c>
      <c r="P152" t="s">
        <v>23</v>
      </c>
    </row>
    <row r="153" spans="1:16" x14ac:dyDescent="0.2">
      <c r="A153">
        <v>20</v>
      </c>
      <c r="B153">
        <v>4</v>
      </c>
      <c r="C153">
        <v>3</v>
      </c>
      <c r="D153">
        <v>5</v>
      </c>
      <c r="E153">
        <v>7</v>
      </c>
      <c r="F153" t="s">
        <v>24</v>
      </c>
      <c r="G153" t="s">
        <v>17</v>
      </c>
      <c r="H153" t="s">
        <v>18</v>
      </c>
      <c r="I153" t="s">
        <v>19</v>
      </c>
      <c r="J153" t="s">
        <v>20</v>
      </c>
      <c r="K153" t="s">
        <v>21</v>
      </c>
      <c r="L153" t="s">
        <v>20</v>
      </c>
      <c r="M153" t="s">
        <v>20</v>
      </c>
      <c r="N153">
        <v>1</v>
      </c>
      <c r="O153" t="s">
        <v>27</v>
      </c>
      <c r="P153" t="s">
        <v>29</v>
      </c>
    </row>
    <row r="154" spans="1:16" x14ac:dyDescent="0.2">
      <c r="A154">
        <v>54</v>
      </c>
      <c r="B154">
        <v>5</v>
      </c>
      <c r="C154">
        <v>7</v>
      </c>
      <c r="D154">
        <v>3</v>
      </c>
      <c r="E154">
        <v>7</v>
      </c>
      <c r="F154" t="s">
        <v>16</v>
      </c>
      <c r="G154" t="s">
        <v>17</v>
      </c>
      <c r="H154" t="s">
        <v>18</v>
      </c>
      <c r="I154" t="s">
        <v>28</v>
      </c>
      <c r="J154" t="s">
        <v>20</v>
      </c>
      <c r="K154" t="s">
        <v>20</v>
      </c>
      <c r="L154" t="s">
        <v>21</v>
      </c>
      <c r="M154" t="s">
        <v>20</v>
      </c>
      <c r="N154">
        <v>0</v>
      </c>
      <c r="O154" t="s">
        <v>22</v>
      </c>
      <c r="P154" t="s">
        <v>23</v>
      </c>
    </row>
    <row r="155" spans="1:16" x14ac:dyDescent="0.2">
      <c r="A155">
        <v>30</v>
      </c>
      <c r="B155">
        <v>2</v>
      </c>
      <c r="C155">
        <v>3</v>
      </c>
      <c r="D155">
        <v>17</v>
      </c>
      <c r="E155">
        <v>7</v>
      </c>
      <c r="F155" t="s">
        <v>16</v>
      </c>
      <c r="G155" t="s">
        <v>25</v>
      </c>
      <c r="H155" t="s">
        <v>18</v>
      </c>
      <c r="I155" t="s">
        <v>19</v>
      </c>
      <c r="J155" t="s">
        <v>20</v>
      </c>
      <c r="K155" t="s">
        <v>20</v>
      </c>
      <c r="L155" t="s">
        <v>21</v>
      </c>
      <c r="M155" t="s">
        <v>20</v>
      </c>
      <c r="N155">
        <v>1</v>
      </c>
      <c r="O155" t="s">
        <v>27</v>
      </c>
      <c r="P155" t="s">
        <v>29</v>
      </c>
    </row>
    <row r="156" spans="1:16" x14ac:dyDescent="0.2">
      <c r="A156">
        <v>33</v>
      </c>
      <c r="B156">
        <v>3</v>
      </c>
      <c r="C156">
        <v>4</v>
      </c>
      <c r="D156">
        <v>10</v>
      </c>
      <c r="E156">
        <v>5</v>
      </c>
      <c r="F156" t="s">
        <v>16</v>
      </c>
      <c r="G156" t="s">
        <v>17</v>
      </c>
      <c r="H156" t="s">
        <v>18</v>
      </c>
      <c r="I156" t="s">
        <v>28</v>
      </c>
      <c r="J156" t="s">
        <v>20</v>
      </c>
      <c r="K156" t="s">
        <v>20</v>
      </c>
      <c r="L156" t="s">
        <v>21</v>
      </c>
      <c r="M156" t="s">
        <v>20</v>
      </c>
      <c r="N156">
        <v>0</v>
      </c>
      <c r="O156" t="s">
        <v>22</v>
      </c>
      <c r="P156" t="s">
        <v>29</v>
      </c>
    </row>
    <row r="157" spans="1:16" x14ac:dyDescent="0.2">
      <c r="A157">
        <v>60</v>
      </c>
      <c r="B157">
        <v>4</v>
      </c>
      <c r="C157">
        <v>2</v>
      </c>
      <c r="D157">
        <v>1</v>
      </c>
      <c r="E157">
        <v>1</v>
      </c>
      <c r="F157" t="s">
        <v>24</v>
      </c>
      <c r="G157" t="s">
        <v>25</v>
      </c>
      <c r="H157" t="s">
        <v>18</v>
      </c>
      <c r="I157" t="s">
        <v>19</v>
      </c>
      <c r="J157" t="s">
        <v>21</v>
      </c>
      <c r="K157" t="s">
        <v>20</v>
      </c>
      <c r="L157" t="s">
        <v>20</v>
      </c>
      <c r="M157" t="s">
        <v>20</v>
      </c>
      <c r="N157">
        <v>2</v>
      </c>
      <c r="O157" t="s">
        <v>26</v>
      </c>
      <c r="P157" t="s">
        <v>31</v>
      </c>
    </row>
    <row r="158" spans="1:16" x14ac:dyDescent="0.2">
      <c r="A158">
        <v>18</v>
      </c>
      <c r="B158">
        <v>3</v>
      </c>
      <c r="C158">
        <v>6</v>
      </c>
      <c r="D158">
        <v>19</v>
      </c>
      <c r="E158">
        <v>5</v>
      </c>
      <c r="F158" t="s">
        <v>24</v>
      </c>
      <c r="G158" t="s">
        <v>25</v>
      </c>
      <c r="H158" t="s">
        <v>30</v>
      </c>
      <c r="I158" t="s">
        <v>19</v>
      </c>
      <c r="J158" t="s">
        <v>21</v>
      </c>
      <c r="K158" t="s">
        <v>20</v>
      </c>
      <c r="L158" t="s">
        <v>20</v>
      </c>
      <c r="M158" t="s">
        <v>21</v>
      </c>
      <c r="N158">
        <v>2</v>
      </c>
      <c r="O158" t="s">
        <v>26</v>
      </c>
      <c r="P158" t="s">
        <v>23</v>
      </c>
    </row>
    <row r="159" spans="1:16" x14ac:dyDescent="0.2">
      <c r="A159">
        <v>44</v>
      </c>
      <c r="B159">
        <v>4</v>
      </c>
      <c r="C159">
        <v>4</v>
      </c>
      <c r="D159">
        <v>15</v>
      </c>
      <c r="E159">
        <v>2</v>
      </c>
      <c r="F159" t="s">
        <v>24</v>
      </c>
      <c r="G159" t="s">
        <v>17</v>
      </c>
      <c r="H159" t="s">
        <v>18</v>
      </c>
      <c r="I159" t="s">
        <v>28</v>
      </c>
      <c r="J159" t="s">
        <v>21</v>
      </c>
      <c r="K159" t="s">
        <v>21</v>
      </c>
      <c r="L159" t="s">
        <v>20</v>
      </c>
      <c r="M159" t="s">
        <v>20</v>
      </c>
      <c r="N159">
        <v>1</v>
      </c>
      <c r="O159" t="s">
        <v>27</v>
      </c>
      <c r="P159" t="s">
        <v>29</v>
      </c>
    </row>
    <row r="160" spans="1:16" x14ac:dyDescent="0.2">
      <c r="A160">
        <v>31</v>
      </c>
      <c r="B160">
        <v>3</v>
      </c>
      <c r="C160">
        <v>2</v>
      </c>
      <c r="D160">
        <v>5</v>
      </c>
      <c r="E160">
        <v>3</v>
      </c>
      <c r="F160" t="s">
        <v>24</v>
      </c>
      <c r="G160" t="s">
        <v>25</v>
      </c>
      <c r="H160" t="s">
        <v>30</v>
      </c>
      <c r="I160" t="s">
        <v>28</v>
      </c>
      <c r="J160" t="s">
        <v>21</v>
      </c>
      <c r="K160" t="s">
        <v>21</v>
      </c>
      <c r="L160" t="s">
        <v>20</v>
      </c>
      <c r="M160" t="s">
        <v>21</v>
      </c>
      <c r="N160">
        <v>2</v>
      </c>
      <c r="O160" t="s">
        <v>26</v>
      </c>
      <c r="P160" t="s">
        <v>31</v>
      </c>
    </row>
    <row r="161" spans="1:16" x14ac:dyDescent="0.2">
      <c r="A161">
        <v>53</v>
      </c>
      <c r="B161">
        <v>4</v>
      </c>
      <c r="C161">
        <v>6</v>
      </c>
      <c r="D161">
        <v>8</v>
      </c>
      <c r="E161">
        <v>2</v>
      </c>
      <c r="F161" t="s">
        <v>16</v>
      </c>
      <c r="G161" t="s">
        <v>25</v>
      </c>
      <c r="H161" t="s">
        <v>18</v>
      </c>
      <c r="I161" t="s">
        <v>28</v>
      </c>
      <c r="J161" t="s">
        <v>21</v>
      </c>
      <c r="K161" t="s">
        <v>20</v>
      </c>
      <c r="L161" t="s">
        <v>21</v>
      </c>
      <c r="M161" t="s">
        <v>21</v>
      </c>
      <c r="N161">
        <v>1</v>
      </c>
      <c r="O161" t="s">
        <v>27</v>
      </c>
      <c r="P161" t="s">
        <v>23</v>
      </c>
    </row>
    <row r="162" spans="1:16" x14ac:dyDescent="0.2">
      <c r="A162">
        <v>44</v>
      </c>
      <c r="B162">
        <v>4</v>
      </c>
      <c r="C162">
        <v>1</v>
      </c>
      <c r="D162">
        <v>1</v>
      </c>
      <c r="E162">
        <v>3</v>
      </c>
      <c r="F162" t="s">
        <v>24</v>
      </c>
      <c r="G162" t="s">
        <v>25</v>
      </c>
      <c r="H162" t="s">
        <v>30</v>
      </c>
      <c r="I162" t="s">
        <v>19</v>
      </c>
      <c r="J162" t="s">
        <v>21</v>
      </c>
      <c r="K162" t="s">
        <v>21</v>
      </c>
      <c r="L162" t="s">
        <v>20</v>
      </c>
      <c r="M162" t="s">
        <v>21</v>
      </c>
      <c r="N162">
        <v>2</v>
      </c>
      <c r="O162" t="s">
        <v>26</v>
      </c>
      <c r="P162" t="s">
        <v>31</v>
      </c>
    </row>
    <row r="163" spans="1:16" x14ac:dyDescent="0.2">
      <c r="A163">
        <v>18</v>
      </c>
      <c r="B163">
        <v>4</v>
      </c>
      <c r="C163">
        <v>3</v>
      </c>
      <c r="D163">
        <v>8</v>
      </c>
      <c r="E163">
        <v>7</v>
      </c>
      <c r="F163" t="s">
        <v>24</v>
      </c>
      <c r="G163" t="s">
        <v>17</v>
      </c>
      <c r="H163" t="s">
        <v>30</v>
      </c>
      <c r="I163" t="s">
        <v>28</v>
      </c>
      <c r="J163" t="s">
        <v>21</v>
      </c>
      <c r="K163" t="s">
        <v>21</v>
      </c>
      <c r="L163" t="s">
        <v>21</v>
      </c>
      <c r="M163" t="s">
        <v>21</v>
      </c>
      <c r="N163">
        <v>1</v>
      </c>
      <c r="O163" t="s">
        <v>27</v>
      </c>
      <c r="P163" t="s">
        <v>29</v>
      </c>
    </row>
    <row r="164" spans="1:16" x14ac:dyDescent="0.2">
      <c r="A164">
        <v>49</v>
      </c>
      <c r="B164">
        <v>4</v>
      </c>
      <c r="C164">
        <v>2</v>
      </c>
      <c r="D164">
        <v>14</v>
      </c>
      <c r="E164">
        <v>2</v>
      </c>
      <c r="F164" t="s">
        <v>24</v>
      </c>
      <c r="G164" t="s">
        <v>25</v>
      </c>
      <c r="H164" t="s">
        <v>30</v>
      </c>
      <c r="I164" t="s">
        <v>19</v>
      </c>
      <c r="J164" t="s">
        <v>20</v>
      </c>
      <c r="K164" t="s">
        <v>21</v>
      </c>
      <c r="L164" t="s">
        <v>20</v>
      </c>
      <c r="M164" t="s">
        <v>21</v>
      </c>
      <c r="N164">
        <v>2</v>
      </c>
      <c r="O164" t="s">
        <v>26</v>
      </c>
      <c r="P164" t="s">
        <v>31</v>
      </c>
    </row>
    <row r="165" spans="1:16" x14ac:dyDescent="0.2">
      <c r="A165">
        <v>42</v>
      </c>
      <c r="B165">
        <v>3</v>
      </c>
      <c r="C165">
        <v>7</v>
      </c>
      <c r="D165">
        <v>12</v>
      </c>
      <c r="E165">
        <v>3</v>
      </c>
      <c r="F165" t="s">
        <v>24</v>
      </c>
      <c r="G165" t="s">
        <v>25</v>
      </c>
      <c r="H165" t="s">
        <v>30</v>
      </c>
      <c r="I165" t="s">
        <v>28</v>
      </c>
      <c r="J165" t="s">
        <v>21</v>
      </c>
      <c r="K165" t="s">
        <v>21</v>
      </c>
      <c r="L165" t="s">
        <v>21</v>
      </c>
      <c r="M165" t="s">
        <v>20</v>
      </c>
      <c r="N165">
        <v>2</v>
      </c>
      <c r="O165" t="s">
        <v>26</v>
      </c>
      <c r="P165" t="s">
        <v>23</v>
      </c>
    </row>
    <row r="166" spans="1:16" x14ac:dyDescent="0.2">
      <c r="A166">
        <v>33</v>
      </c>
      <c r="B166">
        <v>1</v>
      </c>
      <c r="C166">
        <v>3</v>
      </c>
      <c r="D166">
        <v>7</v>
      </c>
      <c r="E166">
        <v>3</v>
      </c>
      <c r="F166" t="s">
        <v>24</v>
      </c>
      <c r="G166" t="s">
        <v>17</v>
      </c>
      <c r="H166" t="s">
        <v>18</v>
      </c>
      <c r="I166" t="s">
        <v>19</v>
      </c>
      <c r="J166" t="s">
        <v>20</v>
      </c>
      <c r="K166" t="s">
        <v>21</v>
      </c>
      <c r="L166" t="s">
        <v>20</v>
      </c>
      <c r="M166" t="s">
        <v>20</v>
      </c>
      <c r="N166">
        <v>1</v>
      </c>
      <c r="O166" t="s">
        <v>27</v>
      </c>
      <c r="P166" t="s">
        <v>29</v>
      </c>
    </row>
    <row r="167" spans="1:16" x14ac:dyDescent="0.2">
      <c r="A167">
        <v>24</v>
      </c>
      <c r="B167">
        <v>1</v>
      </c>
      <c r="C167">
        <v>1</v>
      </c>
      <c r="D167">
        <v>0</v>
      </c>
      <c r="E167">
        <v>6</v>
      </c>
      <c r="F167" t="s">
        <v>16</v>
      </c>
      <c r="G167" t="s">
        <v>17</v>
      </c>
      <c r="H167" t="s">
        <v>18</v>
      </c>
      <c r="I167" t="s">
        <v>28</v>
      </c>
      <c r="J167" t="s">
        <v>21</v>
      </c>
      <c r="K167" t="s">
        <v>20</v>
      </c>
      <c r="L167" t="s">
        <v>20</v>
      </c>
      <c r="M167" t="s">
        <v>21</v>
      </c>
      <c r="N167">
        <v>0</v>
      </c>
      <c r="O167" t="s">
        <v>22</v>
      </c>
      <c r="P167" t="s">
        <v>31</v>
      </c>
    </row>
    <row r="168" spans="1:16" x14ac:dyDescent="0.2">
      <c r="A168">
        <v>23</v>
      </c>
      <c r="B168">
        <v>5</v>
      </c>
      <c r="C168">
        <v>6</v>
      </c>
      <c r="D168">
        <v>15</v>
      </c>
      <c r="E168">
        <v>4</v>
      </c>
      <c r="F168" t="s">
        <v>16</v>
      </c>
      <c r="G168" t="s">
        <v>25</v>
      </c>
      <c r="H168" t="s">
        <v>18</v>
      </c>
      <c r="I168" t="s">
        <v>19</v>
      </c>
      <c r="J168" t="s">
        <v>20</v>
      </c>
      <c r="K168" t="s">
        <v>21</v>
      </c>
      <c r="L168" t="s">
        <v>20</v>
      </c>
      <c r="M168" t="s">
        <v>20</v>
      </c>
      <c r="N168">
        <v>1</v>
      </c>
      <c r="O168" t="s">
        <v>27</v>
      </c>
      <c r="P168" t="s">
        <v>23</v>
      </c>
    </row>
    <row r="169" spans="1:16" x14ac:dyDescent="0.2">
      <c r="A169">
        <v>50</v>
      </c>
      <c r="B169">
        <v>3</v>
      </c>
      <c r="C169">
        <v>2</v>
      </c>
      <c r="D169">
        <v>10</v>
      </c>
      <c r="E169">
        <v>1</v>
      </c>
      <c r="F169" t="s">
        <v>16</v>
      </c>
      <c r="G169" t="s">
        <v>25</v>
      </c>
      <c r="H169" t="s">
        <v>18</v>
      </c>
      <c r="I169" t="s">
        <v>19</v>
      </c>
      <c r="J169" t="s">
        <v>20</v>
      </c>
      <c r="K169" t="s">
        <v>21</v>
      </c>
      <c r="L169" t="s">
        <v>20</v>
      </c>
      <c r="M169" t="s">
        <v>20</v>
      </c>
      <c r="N169">
        <v>1</v>
      </c>
      <c r="O169" t="s">
        <v>27</v>
      </c>
      <c r="P169" t="s">
        <v>31</v>
      </c>
    </row>
    <row r="170" spans="1:16" x14ac:dyDescent="0.2">
      <c r="A170">
        <v>49</v>
      </c>
      <c r="B170">
        <v>1</v>
      </c>
      <c r="C170">
        <v>2</v>
      </c>
      <c r="D170">
        <v>18</v>
      </c>
      <c r="E170">
        <v>6</v>
      </c>
      <c r="F170" t="s">
        <v>16</v>
      </c>
      <c r="G170" t="s">
        <v>25</v>
      </c>
      <c r="H170" t="s">
        <v>18</v>
      </c>
      <c r="I170" t="s">
        <v>19</v>
      </c>
      <c r="J170" t="s">
        <v>20</v>
      </c>
      <c r="K170" t="s">
        <v>20</v>
      </c>
      <c r="L170" t="s">
        <v>20</v>
      </c>
      <c r="M170" t="s">
        <v>20</v>
      </c>
      <c r="N170">
        <v>1</v>
      </c>
      <c r="O170" t="s">
        <v>27</v>
      </c>
      <c r="P170" t="s">
        <v>31</v>
      </c>
    </row>
    <row r="171" spans="1:16" x14ac:dyDescent="0.2">
      <c r="A171">
        <v>25</v>
      </c>
      <c r="B171">
        <v>4</v>
      </c>
      <c r="C171">
        <v>4</v>
      </c>
      <c r="D171">
        <v>19</v>
      </c>
      <c r="E171">
        <v>3</v>
      </c>
      <c r="F171" t="s">
        <v>16</v>
      </c>
      <c r="G171" t="s">
        <v>25</v>
      </c>
      <c r="H171" t="s">
        <v>18</v>
      </c>
      <c r="I171" t="s">
        <v>19</v>
      </c>
      <c r="J171" t="s">
        <v>20</v>
      </c>
      <c r="K171" t="s">
        <v>20</v>
      </c>
      <c r="L171" t="s">
        <v>20</v>
      </c>
      <c r="M171" t="s">
        <v>20</v>
      </c>
      <c r="N171">
        <v>1</v>
      </c>
      <c r="O171" t="s">
        <v>27</v>
      </c>
      <c r="P171" t="s">
        <v>29</v>
      </c>
    </row>
    <row r="172" spans="1:16" x14ac:dyDescent="0.2">
      <c r="A172">
        <v>49</v>
      </c>
      <c r="B172">
        <v>5</v>
      </c>
      <c r="C172">
        <v>3</v>
      </c>
      <c r="D172">
        <v>11</v>
      </c>
      <c r="E172">
        <v>6</v>
      </c>
      <c r="F172" t="s">
        <v>24</v>
      </c>
      <c r="G172" t="s">
        <v>25</v>
      </c>
      <c r="H172" t="s">
        <v>30</v>
      </c>
      <c r="I172" t="s">
        <v>19</v>
      </c>
      <c r="J172" t="s">
        <v>21</v>
      </c>
      <c r="K172" t="s">
        <v>21</v>
      </c>
      <c r="L172" t="s">
        <v>20</v>
      </c>
      <c r="M172" t="s">
        <v>20</v>
      </c>
      <c r="N172">
        <v>2</v>
      </c>
      <c r="O172" t="s">
        <v>26</v>
      </c>
      <c r="P172" t="s">
        <v>29</v>
      </c>
    </row>
    <row r="173" spans="1:16" x14ac:dyDescent="0.2">
      <c r="A173">
        <v>58</v>
      </c>
      <c r="B173">
        <v>2</v>
      </c>
      <c r="C173">
        <v>6</v>
      </c>
      <c r="D173">
        <v>20</v>
      </c>
      <c r="E173">
        <v>7</v>
      </c>
      <c r="F173" t="s">
        <v>24</v>
      </c>
      <c r="G173" t="s">
        <v>17</v>
      </c>
      <c r="H173" t="s">
        <v>18</v>
      </c>
      <c r="I173" t="s">
        <v>28</v>
      </c>
      <c r="J173" t="s">
        <v>20</v>
      </c>
      <c r="K173" t="s">
        <v>21</v>
      </c>
      <c r="L173" t="s">
        <v>20</v>
      </c>
      <c r="M173" t="s">
        <v>20</v>
      </c>
      <c r="N173">
        <v>1</v>
      </c>
      <c r="O173" t="s">
        <v>27</v>
      </c>
      <c r="P173" t="s">
        <v>23</v>
      </c>
    </row>
    <row r="174" spans="1:16" x14ac:dyDescent="0.2">
      <c r="A174">
        <v>45</v>
      </c>
      <c r="B174">
        <v>1</v>
      </c>
      <c r="C174">
        <v>2</v>
      </c>
      <c r="D174">
        <v>18</v>
      </c>
      <c r="E174">
        <v>4</v>
      </c>
      <c r="F174" t="s">
        <v>24</v>
      </c>
      <c r="G174" t="s">
        <v>17</v>
      </c>
      <c r="H174" t="s">
        <v>18</v>
      </c>
      <c r="I174" t="s">
        <v>19</v>
      </c>
      <c r="J174" t="s">
        <v>20</v>
      </c>
      <c r="K174" t="s">
        <v>20</v>
      </c>
      <c r="L174" t="s">
        <v>20</v>
      </c>
      <c r="M174" t="s">
        <v>21</v>
      </c>
      <c r="N174">
        <v>1</v>
      </c>
      <c r="O174" t="s">
        <v>27</v>
      </c>
      <c r="P174" t="s">
        <v>31</v>
      </c>
    </row>
    <row r="175" spans="1:16" x14ac:dyDescent="0.2">
      <c r="A175">
        <v>22</v>
      </c>
      <c r="B175">
        <v>1</v>
      </c>
      <c r="C175">
        <v>2</v>
      </c>
      <c r="D175">
        <v>6</v>
      </c>
      <c r="E175">
        <v>7</v>
      </c>
      <c r="F175" t="s">
        <v>16</v>
      </c>
      <c r="G175" t="s">
        <v>17</v>
      </c>
      <c r="H175" t="s">
        <v>18</v>
      </c>
      <c r="I175" t="s">
        <v>28</v>
      </c>
      <c r="J175" t="s">
        <v>21</v>
      </c>
      <c r="K175" t="s">
        <v>20</v>
      </c>
      <c r="L175" t="s">
        <v>20</v>
      </c>
      <c r="M175" t="s">
        <v>20</v>
      </c>
      <c r="N175">
        <v>0</v>
      </c>
      <c r="O175" t="s">
        <v>22</v>
      </c>
      <c r="P175" t="s">
        <v>31</v>
      </c>
    </row>
    <row r="176" spans="1:16" x14ac:dyDescent="0.2">
      <c r="A176">
        <v>56</v>
      </c>
      <c r="B176">
        <v>5</v>
      </c>
      <c r="C176">
        <v>4</v>
      </c>
      <c r="D176">
        <v>4</v>
      </c>
      <c r="E176">
        <v>1</v>
      </c>
      <c r="F176" t="s">
        <v>24</v>
      </c>
      <c r="G176" t="s">
        <v>17</v>
      </c>
      <c r="H176" t="s">
        <v>18</v>
      </c>
      <c r="I176" t="s">
        <v>19</v>
      </c>
      <c r="J176" t="s">
        <v>20</v>
      </c>
      <c r="K176" t="s">
        <v>21</v>
      </c>
      <c r="L176" t="s">
        <v>21</v>
      </c>
      <c r="M176" t="s">
        <v>21</v>
      </c>
      <c r="N176">
        <v>1</v>
      </c>
      <c r="O176" t="s">
        <v>27</v>
      </c>
      <c r="P176" t="s">
        <v>29</v>
      </c>
    </row>
    <row r="177" spans="1:16" x14ac:dyDescent="0.2">
      <c r="A177">
        <v>58</v>
      </c>
      <c r="B177">
        <v>4</v>
      </c>
      <c r="C177">
        <v>3</v>
      </c>
      <c r="D177">
        <v>7</v>
      </c>
      <c r="E177">
        <v>3</v>
      </c>
      <c r="F177" t="s">
        <v>16</v>
      </c>
      <c r="G177" t="s">
        <v>25</v>
      </c>
      <c r="H177" t="s">
        <v>18</v>
      </c>
      <c r="I177" t="s">
        <v>28</v>
      </c>
      <c r="J177" t="s">
        <v>20</v>
      </c>
      <c r="K177" t="s">
        <v>20</v>
      </c>
      <c r="L177" t="s">
        <v>21</v>
      </c>
      <c r="M177" t="s">
        <v>20</v>
      </c>
      <c r="N177">
        <v>1</v>
      </c>
      <c r="O177" t="s">
        <v>27</v>
      </c>
      <c r="P177" t="s">
        <v>29</v>
      </c>
    </row>
    <row r="178" spans="1:16" x14ac:dyDescent="0.2">
      <c r="A178">
        <v>27</v>
      </c>
      <c r="B178">
        <v>3</v>
      </c>
      <c r="C178">
        <v>4</v>
      </c>
      <c r="D178">
        <v>20</v>
      </c>
      <c r="E178">
        <v>3</v>
      </c>
      <c r="F178" t="s">
        <v>24</v>
      </c>
      <c r="G178" t="s">
        <v>25</v>
      </c>
      <c r="H178" t="s">
        <v>30</v>
      </c>
      <c r="I178" t="s">
        <v>28</v>
      </c>
      <c r="J178" t="s">
        <v>21</v>
      </c>
      <c r="K178" t="s">
        <v>21</v>
      </c>
      <c r="L178" t="s">
        <v>20</v>
      </c>
      <c r="M178" t="s">
        <v>20</v>
      </c>
      <c r="N178">
        <v>2</v>
      </c>
      <c r="O178" t="s">
        <v>26</v>
      </c>
      <c r="P178" t="s">
        <v>29</v>
      </c>
    </row>
    <row r="179" spans="1:16" x14ac:dyDescent="0.2">
      <c r="A179">
        <v>18</v>
      </c>
      <c r="B179">
        <v>2</v>
      </c>
      <c r="C179">
        <v>6</v>
      </c>
      <c r="D179">
        <v>19</v>
      </c>
      <c r="E179">
        <v>7</v>
      </c>
      <c r="F179" t="s">
        <v>24</v>
      </c>
      <c r="G179" t="s">
        <v>25</v>
      </c>
      <c r="H179" t="s">
        <v>30</v>
      </c>
      <c r="I179" t="s">
        <v>19</v>
      </c>
      <c r="J179" t="s">
        <v>21</v>
      </c>
      <c r="K179" t="s">
        <v>21</v>
      </c>
      <c r="L179" t="s">
        <v>20</v>
      </c>
      <c r="M179" t="s">
        <v>21</v>
      </c>
      <c r="N179">
        <v>2</v>
      </c>
      <c r="O179" t="s">
        <v>26</v>
      </c>
      <c r="P179" t="s">
        <v>23</v>
      </c>
    </row>
    <row r="180" spans="1:16" x14ac:dyDescent="0.2">
      <c r="A180">
        <v>41</v>
      </c>
      <c r="B180">
        <v>4</v>
      </c>
      <c r="C180">
        <v>3</v>
      </c>
      <c r="D180">
        <v>20</v>
      </c>
      <c r="E180">
        <v>3</v>
      </c>
      <c r="F180" t="s">
        <v>24</v>
      </c>
      <c r="G180" t="s">
        <v>17</v>
      </c>
      <c r="H180" t="s">
        <v>18</v>
      </c>
      <c r="I180" t="s">
        <v>19</v>
      </c>
      <c r="J180" t="s">
        <v>20</v>
      </c>
      <c r="K180" t="s">
        <v>21</v>
      </c>
      <c r="L180" t="s">
        <v>20</v>
      </c>
      <c r="M180" t="s">
        <v>20</v>
      </c>
      <c r="N180">
        <v>1</v>
      </c>
      <c r="O180" t="s">
        <v>27</v>
      </c>
      <c r="P180" t="s">
        <v>29</v>
      </c>
    </row>
    <row r="181" spans="1:16" x14ac:dyDescent="0.2">
      <c r="A181">
        <v>39</v>
      </c>
      <c r="B181">
        <v>3</v>
      </c>
      <c r="C181">
        <v>7</v>
      </c>
      <c r="D181">
        <v>8</v>
      </c>
      <c r="E181">
        <v>1</v>
      </c>
      <c r="F181" t="s">
        <v>24</v>
      </c>
      <c r="G181" t="s">
        <v>17</v>
      </c>
      <c r="H181" t="s">
        <v>30</v>
      </c>
      <c r="I181" t="s">
        <v>19</v>
      </c>
      <c r="J181" t="s">
        <v>21</v>
      </c>
      <c r="K181" t="s">
        <v>21</v>
      </c>
      <c r="L181" t="s">
        <v>21</v>
      </c>
      <c r="M181" t="s">
        <v>21</v>
      </c>
      <c r="N181">
        <v>1</v>
      </c>
      <c r="O181" t="s">
        <v>27</v>
      </c>
      <c r="P181" t="s">
        <v>23</v>
      </c>
    </row>
    <row r="182" spans="1:16" x14ac:dyDescent="0.2">
      <c r="A182">
        <v>23</v>
      </c>
      <c r="B182">
        <v>3</v>
      </c>
      <c r="C182">
        <v>4</v>
      </c>
      <c r="D182">
        <v>9</v>
      </c>
      <c r="E182">
        <v>1</v>
      </c>
      <c r="F182" t="s">
        <v>16</v>
      </c>
      <c r="G182" t="s">
        <v>17</v>
      </c>
      <c r="H182" t="s">
        <v>18</v>
      </c>
      <c r="I182" t="s">
        <v>28</v>
      </c>
      <c r="J182" t="s">
        <v>21</v>
      </c>
      <c r="K182" t="s">
        <v>20</v>
      </c>
      <c r="L182" t="s">
        <v>21</v>
      </c>
      <c r="M182" t="s">
        <v>20</v>
      </c>
      <c r="N182">
        <v>0</v>
      </c>
      <c r="O182" t="s">
        <v>22</v>
      </c>
      <c r="P182" t="s">
        <v>29</v>
      </c>
    </row>
    <row r="183" spans="1:16" x14ac:dyDescent="0.2">
      <c r="A183">
        <v>44</v>
      </c>
      <c r="B183">
        <v>1</v>
      </c>
      <c r="C183">
        <v>3</v>
      </c>
      <c r="D183">
        <v>3</v>
      </c>
      <c r="E183">
        <v>7</v>
      </c>
      <c r="F183" t="s">
        <v>16</v>
      </c>
      <c r="G183" t="s">
        <v>25</v>
      </c>
      <c r="H183" t="s">
        <v>18</v>
      </c>
      <c r="I183" t="s">
        <v>28</v>
      </c>
      <c r="J183" t="s">
        <v>21</v>
      </c>
      <c r="K183" t="s">
        <v>21</v>
      </c>
      <c r="L183" t="s">
        <v>20</v>
      </c>
      <c r="M183" t="s">
        <v>20</v>
      </c>
      <c r="N183">
        <v>1</v>
      </c>
      <c r="O183" t="s">
        <v>27</v>
      </c>
      <c r="P183" t="s">
        <v>29</v>
      </c>
    </row>
    <row r="184" spans="1:16" x14ac:dyDescent="0.2">
      <c r="A184">
        <v>18</v>
      </c>
      <c r="B184">
        <v>3</v>
      </c>
      <c r="C184">
        <v>3</v>
      </c>
      <c r="D184">
        <v>5</v>
      </c>
      <c r="E184">
        <v>7</v>
      </c>
      <c r="F184" t="s">
        <v>16</v>
      </c>
      <c r="G184" t="s">
        <v>25</v>
      </c>
      <c r="H184" t="s">
        <v>18</v>
      </c>
      <c r="I184" t="s">
        <v>19</v>
      </c>
      <c r="J184" t="s">
        <v>21</v>
      </c>
      <c r="K184" t="s">
        <v>20</v>
      </c>
      <c r="L184" t="s">
        <v>20</v>
      </c>
      <c r="M184" t="s">
        <v>20</v>
      </c>
      <c r="N184">
        <v>1</v>
      </c>
      <c r="O184" t="s">
        <v>27</v>
      </c>
      <c r="P184" t="s">
        <v>29</v>
      </c>
    </row>
    <row r="185" spans="1:16" x14ac:dyDescent="0.2">
      <c r="A185">
        <v>53</v>
      </c>
      <c r="B185">
        <v>4</v>
      </c>
      <c r="C185">
        <v>6</v>
      </c>
      <c r="D185">
        <v>11</v>
      </c>
      <c r="E185">
        <v>1</v>
      </c>
      <c r="F185" t="s">
        <v>24</v>
      </c>
      <c r="G185" t="s">
        <v>25</v>
      </c>
      <c r="H185" t="s">
        <v>18</v>
      </c>
      <c r="I185" t="s">
        <v>19</v>
      </c>
      <c r="J185" t="s">
        <v>20</v>
      </c>
      <c r="K185" t="s">
        <v>20</v>
      </c>
      <c r="L185" t="s">
        <v>21</v>
      </c>
      <c r="M185" t="s">
        <v>20</v>
      </c>
      <c r="N185">
        <v>2</v>
      </c>
      <c r="O185" t="s">
        <v>26</v>
      </c>
      <c r="P185" t="s">
        <v>23</v>
      </c>
    </row>
    <row r="186" spans="1:16" x14ac:dyDescent="0.2">
      <c r="A186">
        <v>33</v>
      </c>
      <c r="B186">
        <v>3</v>
      </c>
      <c r="C186">
        <v>4</v>
      </c>
      <c r="D186">
        <v>12</v>
      </c>
      <c r="E186">
        <v>5</v>
      </c>
      <c r="F186" t="s">
        <v>16</v>
      </c>
      <c r="G186" t="s">
        <v>25</v>
      </c>
      <c r="H186" t="s">
        <v>18</v>
      </c>
      <c r="I186" t="s">
        <v>19</v>
      </c>
      <c r="J186" t="s">
        <v>20</v>
      </c>
      <c r="K186" t="s">
        <v>21</v>
      </c>
      <c r="L186" t="s">
        <v>21</v>
      </c>
      <c r="M186" t="s">
        <v>20</v>
      </c>
      <c r="N186">
        <v>1</v>
      </c>
      <c r="O186" t="s">
        <v>27</v>
      </c>
      <c r="P186" t="s">
        <v>29</v>
      </c>
    </row>
    <row r="187" spans="1:16" x14ac:dyDescent="0.2">
      <c r="A187">
        <v>52</v>
      </c>
      <c r="B187">
        <v>4</v>
      </c>
      <c r="C187">
        <v>2</v>
      </c>
      <c r="D187">
        <v>0</v>
      </c>
      <c r="E187">
        <v>5</v>
      </c>
      <c r="F187" t="s">
        <v>16</v>
      </c>
      <c r="G187" t="s">
        <v>25</v>
      </c>
      <c r="H187" t="s">
        <v>18</v>
      </c>
      <c r="I187" t="s">
        <v>28</v>
      </c>
      <c r="J187" t="s">
        <v>21</v>
      </c>
      <c r="K187" t="s">
        <v>21</v>
      </c>
      <c r="L187" t="s">
        <v>20</v>
      </c>
      <c r="M187" t="s">
        <v>20</v>
      </c>
      <c r="N187">
        <v>1</v>
      </c>
      <c r="O187" t="s">
        <v>27</v>
      </c>
      <c r="P187" t="s">
        <v>31</v>
      </c>
    </row>
    <row r="188" spans="1:16" x14ac:dyDescent="0.2">
      <c r="A188">
        <v>56</v>
      </c>
      <c r="B188">
        <v>2</v>
      </c>
      <c r="C188">
        <v>2</v>
      </c>
      <c r="D188">
        <v>20</v>
      </c>
      <c r="E188">
        <v>5</v>
      </c>
      <c r="F188" t="s">
        <v>16</v>
      </c>
      <c r="G188" t="s">
        <v>25</v>
      </c>
      <c r="H188" t="s">
        <v>18</v>
      </c>
      <c r="I188" t="s">
        <v>19</v>
      </c>
      <c r="J188" t="s">
        <v>21</v>
      </c>
      <c r="K188" t="s">
        <v>20</v>
      </c>
      <c r="L188" t="s">
        <v>20</v>
      </c>
      <c r="M188" t="s">
        <v>20</v>
      </c>
      <c r="N188">
        <v>1</v>
      </c>
      <c r="O188" t="s">
        <v>27</v>
      </c>
      <c r="P188" t="s">
        <v>31</v>
      </c>
    </row>
    <row r="189" spans="1:16" x14ac:dyDescent="0.2">
      <c r="A189">
        <v>37</v>
      </c>
      <c r="B189">
        <v>3</v>
      </c>
      <c r="C189">
        <v>4</v>
      </c>
      <c r="D189">
        <v>4</v>
      </c>
      <c r="E189">
        <v>6</v>
      </c>
      <c r="F189" t="s">
        <v>16</v>
      </c>
      <c r="G189" t="s">
        <v>17</v>
      </c>
      <c r="H189" t="s">
        <v>18</v>
      </c>
      <c r="I189" t="s">
        <v>28</v>
      </c>
      <c r="J189" t="s">
        <v>21</v>
      </c>
      <c r="K189" t="s">
        <v>20</v>
      </c>
      <c r="L189" t="s">
        <v>21</v>
      </c>
      <c r="M189" t="s">
        <v>21</v>
      </c>
      <c r="N189">
        <v>0</v>
      </c>
      <c r="O189" t="s">
        <v>22</v>
      </c>
      <c r="P189" t="s">
        <v>29</v>
      </c>
    </row>
    <row r="190" spans="1:16" x14ac:dyDescent="0.2">
      <c r="A190">
        <v>59</v>
      </c>
      <c r="B190">
        <v>5</v>
      </c>
      <c r="C190">
        <v>5</v>
      </c>
      <c r="D190">
        <v>8</v>
      </c>
      <c r="E190">
        <v>4</v>
      </c>
      <c r="F190" t="s">
        <v>24</v>
      </c>
      <c r="G190" t="s">
        <v>17</v>
      </c>
      <c r="H190" t="s">
        <v>30</v>
      </c>
      <c r="I190" t="s">
        <v>28</v>
      </c>
      <c r="J190" t="s">
        <v>21</v>
      </c>
      <c r="K190" t="s">
        <v>21</v>
      </c>
      <c r="L190" t="s">
        <v>21</v>
      </c>
      <c r="M190" t="s">
        <v>20</v>
      </c>
      <c r="N190">
        <v>1</v>
      </c>
      <c r="O190" t="s">
        <v>27</v>
      </c>
      <c r="P190" t="s">
        <v>23</v>
      </c>
    </row>
    <row r="191" spans="1:16" x14ac:dyDescent="0.2">
      <c r="A191">
        <v>45</v>
      </c>
      <c r="B191">
        <v>5</v>
      </c>
      <c r="C191">
        <v>1</v>
      </c>
      <c r="D191">
        <v>16</v>
      </c>
      <c r="E191">
        <v>7</v>
      </c>
      <c r="F191" t="s">
        <v>16</v>
      </c>
      <c r="G191" t="s">
        <v>25</v>
      </c>
      <c r="H191" t="s">
        <v>18</v>
      </c>
      <c r="I191" t="s">
        <v>19</v>
      </c>
      <c r="J191" t="s">
        <v>20</v>
      </c>
      <c r="K191" t="s">
        <v>20</v>
      </c>
      <c r="L191" t="s">
        <v>20</v>
      </c>
      <c r="M191" t="s">
        <v>20</v>
      </c>
      <c r="N191">
        <v>1</v>
      </c>
      <c r="O191" t="s">
        <v>27</v>
      </c>
      <c r="P191" t="s">
        <v>31</v>
      </c>
    </row>
    <row r="192" spans="1:16" x14ac:dyDescent="0.2">
      <c r="A192">
        <v>53</v>
      </c>
      <c r="B192">
        <v>4</v>
      </c>
      <c r="C192">
        <v>2</v>
      </c>
      <c r="D192">
        <v>8</v>
      </c>
      <c r="E192">
        <v>3</v>
      </c>
      <c r="F192" t="s">
        <v>16</v>
      </c>
      <c r="G192" t="s">
        <v>25</v>
      </c>
      <c r="H192" t="s">
        <v>18</v>
      </c>
      <c r="I192" t="s">
        <v>19</v>
      </c>
      <c r="J192" t="s">
        <v>20</v>
      </c>
      <c r="K192" t="s">
        <v>20</v>
      </c>
      <c r="L192" t="s">
        <v>20</v>
      </c>
      <c r="M192" t="s">
        <v>21</v>
      </c>
      <c r="N192">
        <v>1</v>
      </c>
      <c r="O192" t="s">
        <v>27</v>
      </c>
      <c r="P192" t="s">
        <v>31</v>
      </c>
    </row>
    <row r="193" spans="1:16" x14ac:dyDescent="0.2">
      <c r="A193">
        <v>59</v>
      </c>
      <c r="B193">
        <v>4</v>
      </c>
      <c r="C193">
        <v>3</v>
      </c>
      <c r="D193">
        <v>0</v>
      </c>
      <c r="E193">
        <v>7</v>
      </c>
      <c r="F193" t="s">
        <v>24</v>
      </c>
      <c r="G193" t="s">
        <v>17</v>
      </c>
      <c r="H193" t="s">
        <v>18</v>
      </c>
      <c r="I193" t="s">
        <v>19</v>
      </c>
      <c r="J193" t="s">
        <v>21</v>
      </c>
      <c r="K193" t="s">
        <v>21</v>
      </c>
      <c r="L193" t="s">
        <v>20</v>
      </c>
      <c r="M193" t="s">
        <v>20</v>
      </c>
      <c r="N193">
        <v>1</v>
      </c>
      <c r="O193" t="s">
        <v>27</v>
      </c>
      <c r="P193" t="s">
        <v>29</v>
      </c>
    </row>
    <row r="194" spans="1:16" x14ac:dyDescent="0.2">
      <c r="A194">
        <v>47</v>
      </c>
      <c r="B194">
        <v>5</v>
      </c>
      <c r="C194">
        <v>3</v>
      </c>
      <c r="D194">
        <v>20</v>
      </c>
      <c r="E194">
        <v>2</v>
      </c>
      <c r="F194" t="s">
        <v>16</v>
      </c>
      <c r="G194" t="s">
        <v>25</v>
      </c>
      <c r="H194" t="s">
        <v>18</v>
      </c>
      <c r="I194" t="s">
        <v>28</v>
      </c>
      <c r="J194" t="s">
        <v>20</v>
      </c>
      <c r="K194" t="s">
        <v>20</v>
      </c>
      <c r="L194" t="s">
        <v>21</v>
      </c>
      <c r="M194" t="s">
        <v>20</v>
      </c>
      <c r="N194">
        <v>1</v>
      </c>
      <c r="O194" t="s">
        <v>27</v>
      </c>
      <c r="P194" t="s">
        <v>29</v>
      </c>
    </row>
    <row r="195" spans="1:16" x14ac:dyDescent="0.2">
      <c r="A195">
        <v>36</v>
      </c>
      <c r="B195">
        <v>4</v>
      </c>
      <c r="C195">
        <v>2</v>
      </c>
      <c r="D195">
        <v>0</v>
      </c>
      <c r="E195">
        <v>3</v>
      </c>
      <c r="F195" t="s">
        <v>24</v>
      </c>
      <c r="G195" t="s">
        <v>17</v>
      </c>
      <c r="H195" t="s">
        <v>18</v>
      </c>
      <c r="I195" t="s">
        <v>28</v>
      </c>
      <c r="J195" t="s">
        <v>20</v>
      </c>
      <c r="K195" t="s">
        <v>21</v>
      </c>
      <c r="L195" t="s">
        <v>21</v>
      </c>
      <c r="M195" t="s">
        <v>21</v>
      </c>
      <c r="N195">
        <v>1</v>
      </c>
      <c r="O195" t="s">
        <v>27</v>
      </c>
      <c r="P195" t="s">
        <v>31</v>
      </c>
    </row>
    <row r="196" spans="1:16" x14ac:dyDescent="0.2">
      <c r="A196">
        <v>46</v>
      </c>
      <c r="B196">
        <v>4</v>
      </c>
      <c r="C196">
        <v>1</v>
      </c>
      <c r="D196">
        <v>14</v>
      </c>
      <c r="E196">
        <v>1</v>
      </c>
      <c r="F196" t="s">
        <v>16</v>
      </c>
      <c r="G196" t="s">
        <v>17</v>
      </c>
      <c r="H196" t="s">
        <v>18</v>
      </c>
      <c r="I196" t="s">
        <v>19</v>
      </c>
      <c r="J196" t="s">
        <v>21</v>
      </c>
      <c r="K196" t="s">
        <v>20</v>
      </c>
      <c r="L196" t="s">
        <v>20</v>
      </c>
      <c r="M196" t="s">
        <v>20</v>
      </c>
      <c r="N196">
        <v>0</v>
      </c>
      <c r="O196" t="s">
        <v>22</v>
      </c>
      <c r="P196" t="s">
        <v>31</v>
      </c>
    </row>
    <row r="197" spans="1:16" x14ac:dyDescent="0.2">
      <c r="A197">
        <v>28</v>
      </c>
      <c r="B197">
        <v>3</v>
      </c>
      <c r="C197">
        <v>7</v>
      </c>
      <c r="D197">
        <v>11</v>
      </c>
      <c r="E197">
        <v>4</v>
      </c>
      <c r="F197" t="s">
        <v>24</v>
      </c>
      <c r="G197" t="s">
        <v>25</v>
      </c>
      <c r="H197" t="s">
        <v>30</v>
      </c>
      <c r="I197" t="s">
        <v>19</v>
      </c>
      <c r="J197" t="s">
        <v>21</v>
      </c>
      <c r="K197" t="s">
        <v>20</v>
      </c>
      <c r="L197" t="s">
        <v>21</v>
      </c>
      <c r="M197" t="s">
        <v>20</v>
      </c>
      <c r="N197">
        <v>2</v>
      </c>
      <c r="O197" t="s">
        <v>26</v>
      </c>
      <c r="P197" t="s">
        <v>23</v>
      </c>
    </row>
    <row r="198" spans="1:16" x14ac:dyDescent="0.2">
      <c r="A198">
        <v>57</v>
      </c>
      <c r="B198">
        <v>3</v>
      </c>
      <c r="C198">
        <v>3</v>
      </c>
      <c r="D198">
        <v>4</v>
      </c>
      <c r="E198">
        <v>3</v>
      </c>
      <c r="F198" t="s">
        <v>24</v>
      </c>
      <c r="G198" t="s">
        <v>17</v>
      </c>
      <c r="H198" t="s">
        <v>18</v>
      </c>
      <c r="I198" t="s">
        <v>19</v>
      </c>
      <c r="J198" t="s">
        <v>21</v>
      </c>
      <c r="K198" t="s">
        <v>21</v>
      </c>
      <c r="L198" t="s">
        <v>21</v>
      </c>
      <c r="M198" t="s">
        <v>20</v>
      </c>
      <c r="N198">
        <v>1</v>
      </c>
      <c r="O198" t="s">
        <v>27</v>
      </c>
      <c r="P198" t="s">
        <v>29</v>
      </c>
    </row>
    <row r="199" spans="1:16" x14ac:dyDescent="0.2">
      <c r="A199">
        <v>25</v>
      </c>
      <c r="B199">
        <v>4</v>
      </c>
      <c r="C199">
        <v>1</v>
      </c>
      <c r="D199">
        <v>20</v>
      </c>
      <c r="E199">
        <v>1</v>
      </c>
      <c r="F199" t="s">
        <v>16</v>
      </c>
      <c r="G199" t="s">
        <v>17</v>
      </c>
      <c r="H199" t="s">
        <v>18</v>
      </c>
      <c r="I199" t="s">
        <v>19</v>
      </c>
      <c r="J199" t="s">
        <v>21</v>
      </c>
      <c r="K199" t="s">
        <v>21</v>
      </c>
      <c r="L199" t="s">
        <v>21</v>
      </c>
      <c r="M199" t="s">
        <v>21</v>
      </c>
      <c r="N199">
        <v>0</v>
      </c>
      <c r="O199" t="s">
        <v>22</v>
      </c>
      <c r="P199" t="s">
        <v>31</v>
      </c>
    </row>
    <row r="200" spans="1:16" x14ac:dyDescent="0.2">
      <c r="A200">
        <v>26</v>
      </c>
      <c r="B200">
        <v>3</v>
      </c>
      <c r="C200">
        <v>2</v>
      </c>
      <c r="D200">
        <v>20</v>
      </c>
      <c r="E200">
        <v>7</v>
      </c>
      <c r="F200" t="s">
        <v>24</v>
      </c>
      <c r="G200" t="s">
        <v>25</v>
      </c>
      <c r="H200" t="s">
        <v>30</v>
      </c>
      <c r="I200" t="s">
        <v>19</v>
      </c>
      <c r="J200" t="s">
        <v>20</v>
      </c>
      <c r="K200" t="s">
        <v>21</v>
      </c>
      <c r="L200" t="s">
        <v>20</v>
      </c>
      <c r="M200" t="s">
        <v>20</v>
      </c>
      <c r="N200">
        <v>2</v>
      </c>
      <c r="O200" t="s">
        <v>26</v>
      </c>
      <c r="P200" t="s">
        <v>31</v>
      </c>
    </row>
    <row r="201" spans="1:16" x14ac:dyDescent="0.2">
      <c r="A201">
        <v>45</v>
      </c>
      <c r="B201">
        <v>1</v>
      </c>
      <c r="C201">
        <v>3</v>
      </c>
      <c r="D201">
        <v>8</v>
      </c>
      <c r="E201">
        <v>5</v>
      </c>
      <c r="F201" t="s">
        <v>24</v>
      </c>
      <c r="G201" t="s">
        <v>25</v>
      </c>
      <c r="H201" t="s">
        <v>30</v>
      </c>
      <c r="I201" t="s">
        <v>28</v>
      </c>
      <c r="J201" t="s">
        <v>20</v>
      </c>
      <c r="K201" t="s">
        <v>21</v>
      </c>
      <c r="L201" t="s">
        <v>20</v>
      </c>
      <c r="M201" t="s">
        <v>21</v>
      </c>
      <c r="N201">
        <v>2</v>
      </c>
      <c r="O201" t="s">
        <v>26</v>
      </c>
      <c r="P201" t="s">
        <v>29</v>
      </c>
    </row>
    <row r="202" spans="1:16" x14ac:dyDescent="0.2">
      <c r="A202">
        <v>30</v>
      </c>
      <c r="B202">
        <v>3</v>
      </c>
      <c r="C202">
        <v>3</v>
      </c>
      <c r="D202">
        <v>20</v>
      </c>
      <c r="E202">
        <v>1</v>
      </c>
      <c r="F202" t="s">
        <v>24</v>
      </c>
      <c r="G202" t="s">
        <v>25</v>
      </c>
      <c r="H202" t="s">
        <v>18</v>
      </c>
      <c r="I202" t="s">
        <v>19</v>
      </c>
      <c r="J202" t="s">
        <v>21</v>
      </c>
      <c r="K202" t="s">
        <v>20</v>
      </c>
      <c r="L202" t="s">
        <v>21</v>
      </c>
      <c r="M202" t="s">
        <v>20</v>
      </c>
      <c r="N202">
        <v>2</v>
      </c>
      <c r="O202" t="s">
        <v>26</v>
      </c>
      <c r="P202" t="s">
        <v>29</v>
      </c>
    </row>
    <row r="203" spans="1:16" x14ac:dyDescent="0.2">
      <c r="A203">
        <v>52</v>
      </c>
      <c r="B203">
        <v>1</v>
      </c>
      <c r="C203">
        <v>3</v>
      </c>
      <c r="D203">
        <v>12</v>
      </c>
      <c r="E203">
        <v>6</v>
      </c>
      <c r="F203" t="s">
        <v>16</v>
      </c>
      <c r="G203" t="s">
        <v>25</v>
      </c>
      <c r="H203" t="s">
        <v>30</v>
      </c>
      <c r="I203" t="s">
        <v>19</v>
      </c>
      <c r="J203" t="s">
        <v>21</v>
      </c>
      <c r="K203" t="s">
        <v>21</v>
      </c>
      <c r="L203" t="s">
        <v>21</v>
      </c>
      <c r="M203" t="s">
        <v>20</v>
      </c>
      <c r="N203">
        <v>1</v>
      </c>
      <c r="O203" t="s">
        <v>27</v>
      </c>
      <c r="P203" t="s">
        <v>29</v>
      </c>
    </row>
    <row r="204" spans="1:16" x14ac:dyDescent="0.2">
      <c r="A204">
        <v>31</v>
      </c>
      <c r="B204">
        <v>2</v>
      </c>
      <c r="C204">
        <v>1</v>
      </c>
      <c r="D204">
        <v>19</v>
      </c>
      <c r="E204">
        <v>2</v>
      </c>
      <c r="F204" t="s">
        <v>16</v>
      </c>
      <c r="G204" t="s">
        <v>17</v>
      </c>
      <c r="H204" t="s">
        <v>18</v>
      </c>
      <c r="I204" t="s">
        <v>28</v>
      </c>
      <c r="J204" t="s">
        <v>20</v>
      </c>
      <c r="K204" t="s">
        <v>20</v>
      </c>
      <c r="L204" t="s">
        <v>20</v>
      </c>
      <c r="M204" t="s">
        <v>21</v>
      </c>
      <c r="N204">
        <v>0</v>
      </c>
      <c r="O204" t="s">
        <v>22</v>
      </c>
      <c r="P204" t="s">
        <v>31</v>
      </c>
    </row>
    <row r="205" spans="1:16" x14ac:dyDescent="0.2">
      <c r="A205">
        <v>45</v>
      </c>
      <c r="B205">
        <v>4</v>
      </c>
      <c r="C205">
        <v>4</v>
      </c>
      <c r="D205">
        <v>13</v>
      </c>
      <c r="E205">
        <v>1</v>
      </c>
      <c r="F205" t="s">
        <v>24</v>
      </c>
      <c r="G205" t="s">
        <v>17</v>
      </c>
      <c r="H205" t="s">
        <v>18</v>
      </c>
      <c r="I205" t="s">
        <v>28</v>
      </c>
      <c r="J205" t="s">
        <v>20</v>
      </c>
      <c r="K205" t="s">
        <v>20</v>
      </c>
      <c r="L205" t="s">
        <v>20</v>
      </c>
      <c r="M205" t="s">
        <v>20</v>
      </c>
      <c r="N205">
        <v>1</v>
      </c>
      <c r="O205" t="s">
        <v>27</v>
      </c>
      <c r="P205" t="s">
        <v>29</v>
      </c>
    </row>
    <row r="206" spans="1:16" x14ac:dyDescent="0.2">
      <c r="A206">
        <v>44</v>
      </c>
      <c r="B206">
        <v>3</v>
      </c>
      <c r="C206">
        <v>4</v>
      </c>
      <c r="D206">
        <v>16</v>
      </c>
      <c r="E206">
        <v>5</v>
      </c>
      <c r="F206" t="s">
        <v>24</v>
      </c>
      <c r="G206" t="s">
        <v>17</v>
      </c>
      <c r="H206" t="s">
        <v>18</v>
      </c>
      <c r="I206" t="s">
        <v>28</v>
      </c>
      <c r="J206" t="s">
        <v>20</v>
      </c>
      <c r="K206" t="s">
        <v>20</v>
      </c>
      <c r="L206" t="s">
        <v>20</v>
      </c>
      <c r="M206" t="s">
        <v>21</v>
      </c>
      <c r="N206">
        <v>1</v>
      </c>
      <c r="O206" t="s">
        <v>27</v>
      </c>
      <c r="P206" t="s">
        <v>29</v>
      </c>
    </row>
    <row r="207" spans="1:16" x14ac:dyDescent="0.2">
      <c r="A207">
        <v>52</v>
      </c>
      <c r="B207">
        <v>5</v>
      </c>
      <c r="C207">
        <v>3</v>
      </c>
      <c r="D207">
        <v>12</v>
      </c>
      <c r="E207">
        <v>4</v>
      </c>
      <c r="F207" t="s">
        <v>24</v>
      </c>
      <c r="G207" t="s">
        <v>25</v>
      </c>
      <c r="H207" t="s">
        <v>30</v>
      </c>
      <c r="I207" t="s">
        <v>19</v>
      </c>
      <c r="J207" t="s">
        <v>21</v>
      </c>
      <c r="K207" t="s">
        <v>21</v>
      </c>
      <c r="L207" t="s">
        <v>20</v>
      </c>
      <c r="M207" t="s">
        <v>21</v>
      </c>
      <c r="N207">
        <v>2</v>
      </c>
      <c r="O207" t="s">
        <v>26</v>
      </c>
      <c r="P207" t="s">
        <v>29</v>
      </c>
    </row>
    <row r="208" spans="1:16" x14ac:dyDescent="0.2">
      <c r="A208">
        <v>21</v>
      </c>
      <c r="B208">
        <v>5</v>
      </c>
      <c r="C208">
        <v>4</v>
      </c>
      <c r="D208">
        <v>10</v>
      </c>
      <c r="E208">
        <v>3</v>
      </c>
      <c r="F208" t="s">
        <v>24</v>
      </c>
      <c r="G208" t="s">
        <v>17</v>
      </c>
      <c r="H208" t="s">
        <v>18</v>
      </c>
      <c r="I208" t="s">
        <v>19</v>
      </c>
      <c r="J208" t="s">
        <v>21</v>
      </c>
      <c r="K208" t="s">
        <v>21</v>
      </c>
      <c r="L208" t="s">
        <v>20</v>
      </c>
      <c r="M208" t="s">
        <v>20</v>
      </c>
      <c r="N208">
        <v>1</v>
      </c>
      <c r="O208" t="s">
        <v>27</v>
      </c>
      <c r="P208" t="s">
        <v>29</v>
      </c>
    </row>
    <row r="209" spans="1:16" x14ac:dyDescent="0.2">
      <c r="A209">
        <v>18</v>
      </c>
      <c r="B209">
        <v>3</v>
      </c>
      <c r="C209">
        <v>3</v>
      </c>
      <c r="D209">
        <v>10</v>
      </c>
      <c r="E209">
        <v>3</v>
      </c>
      <c r="F209" t="s">
        <v>16</v>
      </c>
      <c r="G209" t="s">
        <v>17</v>
      </c>
      <c r="H209" t="s">
        <v>18</v>
      </c>
      <c r="I209" t="s">
        <v>19</v>
      </c>
      <c r="J209" t="s">
        <v>21</v>
      </c>
      <c r="K209" t="s">
        <v>20</v>
      </c>
      <c r="L209" t="s">
        <v>21</v>
      </c>
      <c r="M209" t="s">
        <v>21</v>
      </c>
      <c r="N209">
        <v>0</v>
      </c>
      <c r="O209" t="s">
        <v>22</v>
      </c>
      <c r="P209" t="s">
        <v>29</v>
      </c>
    </row>
    <row r="210" spans="1:16" x14ac:dyDescent="0.2">
      <c r="A210">
        <v>50</v>
      </c>
      <c r="B210">
        <v>3</v>
      </c>
      <c r="C210">
        <v>6</v>
      </c>
      <c r="D210">
        <v>20</v>
      </c>
      <c r="E210">
        <v>3</v>
      </c>
      <c r="F210" t="s">
        <v>24</v>
      </c>
      <c r="G210" t="s">
        <v>17</v>
      </c>
      <c r="H210" t="s">
        <v>18</v>
      </c>
      <c r="I210" t="s">
        <v>28</v>
      </c>
      <c r="J210" t="s">
        <v>20</v>
      </c>
      <c r="K210" t="s">
        <v>21</v>
      </c>
      <c r="L210" t="s">
        <v>20</v>
      </c>
      <c r="M210" t="s">
        <v>20</v>
      </c>
      <c r="N210">
        <v>1</v>
      </c>
      <c r="O210" t="s">
        <v>27</v>
      </c>
      <c r="P210" t="s">
        <v>23</v>
      </c>
    </row>
    <row r="211" spans="1:16" x14ac:dyDescent="0.2">
      <c r="A211">
        <v>41</v>
      </c>
      <c r="B211">
        <v>1</v>
      </c>
      <c r="C211">
        <v>4</v>
      </c>
      <c r="D211">
        <v>1</v>
      </c>
      <c r="E211">
        <v>1</v>
      </c>
      <c r="F211" t="s">
        <v>24</v>
      </c>
      <c r="G211" t="s">
        <v>17</v>
      </c>
      <c r="H211" t="s">
        <v>18</v>
      </c>
      <c r="I211" t="s">
        <v>28</v>
      </c>
      <c r="J211" t="s">
        <v>21</v>
      </c>
      <c r="K211" t="s">
        <v>20</v>
      </c>
      <c r="L211" t="s">
        <v>21</v>
      </c>
      <c r="M211" t="s">
        <v>21</v>
      </c>
      <c r="N211">
        <v>1</v>
      </c>
      <c r="O211" t="s">
        <v>27</v>
      </c>
      <c r="P211" t="s">
        <v>29</v>
      </c>
    </row>
    <row r="212" spans="1:16" x14ac:dyDescent="0.2">
      <c r="A212">
        <v>39</v>
      </c>
      <c r="B212">
        <v>1</v>
      </c>
      <c r="C212">
        <v>3</v>
      </c>
      <c r="D212">
        <v>1</v>
      </c>
      <c r="E212">
        <v>7</v>
      </c>
      <c r="F212" t="s">
        <v>16</v>
      </c>
      <c r="G212" t="s">
        <v>25</v>
      </c>
      <c r="H212" t="s">
        <v>18</v>
      </c>
      <c r="I212" t="s">
        <v>19</v>
      </c>
      <c r="J212" t="s">
        <v>21</v>
      </c>
      <c r="K212" t="s">
        <v>20</v>
      </c>
      <c r="L212" t="s">
        <v>21</v>
      </c>
      <c r="M212" t="s">
        <v>20</v>
      </c>
      <c r="N212">
        <v>1</v>
      </c>
      <c r="O212" t="s">
        <v>27</v>
      </c>
      <c r="P212" t="s">
        <v>29</v>
      </c>
    </row>
    <row r="213" spans="1:16" x14ac:dyDescent="0.2">
      <c r="A213">
        <v>40</v>
      </c>
      <c r="B213">
        <v>3</v>
      </c>
      <c r="C213">
        <v>2</v>
      </c>
      <c r="D213">
        <v>9</v>
      </c>
      <c r="E213">
        <v>4</v>
      </c>
      <c r="F213" t="s">
        <v>24</v>
      </c>
      <c r="G213" t="s">
        <v>25</v>
      </c>
      <c r="H213" t="s">
        <v>18</v>
      </c>
      <c r="I213" t="s">
        <v>28</v>
      </c>
      <c r="J213" t="s">
        <v>20</v>
      </c>
      <c r="K213" t="s">
        <v>21</v>
      </c>
      <c r="L213" t="s">
        <v>21</v>
      </c>
      <c r="M213" t="s">
        <v>20</v>
      </c>
      <c r="N213">
        <v>2</v>
      </c>
      <c r="O213" t="s">
        <v>26</v>
      </c>
      <c r="P213" t="s">
        <v>31</v>
      </c>
    </row>
    <row r="214" spans="1:16" x14ac:dyDescent="0.2">
      <c r="A214">
        <v>38</v>
      </c>
      <c r="B214">
        <v>3</v>
      </c>
      <c r="C214">
        <v>7</v>
      </c>
      <c r="D214">
        <v>17</v>
      </c>
      <c r="E214">
        <v>2</v>
      </c>
      <c r="F214" t="s">
        <v>24</v>
      </c>
      <c r="G214" t="s">
        <v>25</v>
      </c>
      <c r="H214" t="s">
        <v>30</v>
      </c>
      <c r="I214" t="s">
        <v>19</v>
      </c>
      <c r="J214" t="s">
        <v>21</v>
      </c>
      <c r="K214" t="s">
        <v>20</v>
      </c>
      <c r="L214" t="s">
        <v>20</v>
      </c>
      <c r="M214" t="s">
        <v>20</v>
      </c>
      <c r="N214">
        <v>2</v>
      </c>
      <c r="O214" t="s">
        <v>26</v>
      </c>
      <c r="P214" t="s">
        <v>23</v>
      </c>
    </row>
    <row r="215" spans="1:16" x14ac:dyDescent="0.2">
      <c r="A215">
        <v>28</v>
      </c>
      <c r="B215">
        <v>5</v>
      </c>
      <c r="C215">
        <v>6</v>
      </c>
      <c r="D215">
        <v>19</v>
      </c>
      <c r="E215">
        <v>3</v>
      </c>
      <c r="F215" t="s">
        <v>24</v>
      </c>
      <c r="G215" t="s">
        <v>17</v>
      </c>
      <c r="H215" t="s">
        <v>18</v>
      </c>
      <c r="I215" t="s">
        <v>19</v>
      </c>
      <c r="J215" t="s">
        <v>21</v>
      </c>
      <c r="K215" t="s">
        <v>20</v>
      </c>
      <c r="L215" t="s">
        <v>21</v>
      </c>
      <c r="M215" t="s">
        <v>20</v>
      </c>
      <c r="N215">
        <v>1</v>
      </c>
      <c r="O215" t="s">
        <v>27</v>
      </c>
      <c r="P215" t="s">
        <v>23</v>
      </c>
    </row>
    <row r="216" spans="1:16" x14ac:dyDescent="0.2">
      <c r="A216">
        <v>37</v>
      </c>
      <c r="B216">
        <v>1</v>
      </c>
      <c r="C216">
        <v>2</v>
      </c>
      <c r="D216">
        <v>12</v>
      </c>
      <c r="E216">
        <v>6</v>
      </c>
      <c r="F216" t="s">
        <v>24</v>
      </c>
      <c r="G216" t="s">
        <v>25</v>
      </c>
      <c r="H216" t="s">
        <v>30</v>
      </c>
      <c r="I216" t="s">
        <v>28</v>
      </c>
      <c r="J216" t="s">
        <v>21</v>
      </c>
      <c r="K216" t="s">
        <v>21</v>
      </c>
      <c r="L216" t="s">
        <v>21</v>
      </c>
      <c r="M216" t="s">
        <v>20</v>
      </c>
      <c r="N216">
        <v>2</v>
      </c>
      <c r="O216" t="s">
        <v>26</v>
      </c>
      <c r="P216" t="s">
        <v>31</v>
      </c>
    </row>
    <row r="217" spans="1:16" x14ac:dyDescent="0.2">
      <c r="A217">
        <v>59</v>
      </c>
      <c r="B217">
        <v>5</v>
      </c>
      <c r="C217">
        <v>3</v>
      </c>
      <c r="D217">
        <v>17</v>
      </c>
      <c r="E217">
        <v>7</v>
      </c>
      <c r="F217" t="s">
        <v>16</v>
      </c>
      <c r="G217" t="s">
        <v>25</v>
      </c>
      <c r="H217" t="s">
        <v>18</v>
      </c>
      <c r="I217" t="s">
        <v>28</v>
      </c>
      <c r="J217" t="s">
        <v>20</v>
      </c>
      <c r="K217" t="s">
        <v>20</v>
      </c>
      <c r="L217" t="s">
        <v>20</v>
      </c>
      <c r="M217" t="s">
        <v>20</v>
      </c>
      <c r="N217">
        <v>1</v>
      </c>
      <c r="O217" t="s">
        <v>27</v>
      </c>
      <c r="P217" t="s">
        <v>29</v>
      </c>
    </row>
    <row r="218" spans="1:16" x14ac:dyDescent="0.2">
      <c r="A218">
        <v>60</v>
      </c>
      <c r="B218">
        <v>3</v>
      </c>
      <c r="C218">
        <v>7</v>
      </c>
      <c r="D218">
        <v>6</v>
      </c>
      <c r="E218">
        <v>4</v>
      </c>
      <c r="F218" t="s">
        <v>24</v>
      </c>
      <c r="G218" t="s">
        <v>17</v>
      </c>
      <c r="H218" t="s">
        <v>30</v>
      </c>
      <c r="I218" t="s">
        <v>28</v>
      </c>
      <c r="J218" t="s">
        <v>21</v>
      </c>
      <c r="K218" t="s">
        <v>21</v>
      </c>
      <c r="L218" t="s">
        <v>21</v>
      </c>
      <c r="M218" t="s">
        <v>21</v>
      </c>
      <c r="N218">
        <v>1</v>
      </c>
      <c r="O218" t="s">
        <v>27</v>
      </c>
      <c r="P218" t="s">
        <v>23</v>
      </c>
    </row>
    <row r="219" spans="1:16" x14ac:dyDescent="0.2">
      <c r="A219">
        <v>59</v>
      </c>
      <c r="B219">
        <v>2</v>
      </c>
      <c r="C219">
        <v>2</v>
      </c>
      <c r="D219">
        <v>5</v>
      </c>
      <c r="E219">
        <v>4</v>
      </c>
      <c r="F219" t="s">
        <v>24</v>
      </c>
      <c r="G219" t="s">
        <v>17</v>
      </c>
      <c r="H219" t="s">
        <v>18</v>
      </c>
      <c r="I219" t="s">
        <v>19</v>
      </c>
      <c r="J219" t="s">
        <v>20</v>
      </c>
      <c r="K219" t="s">
        <v>20</v>
      </c>
      <c r="L219" t="s">
        <v>20</v>
      </c>
      <c r="M219" t="s">
        <v>21</v>
      </c>
      <c r="N219">
        <v>1</v>
      </c>
      <c r="O219" t="s">
        <v>27</v>
      </c>
      <c r="P219" t="s">
        <v>31</v>
      </c>
    </row>
    <row r="220" spans="1:16" x14ac:dyDescent="0.2">
      <c r="A220">
        <v>34</v>
      </c>
      <c r="B220">
        <v>5</v>
      </c>
      <c r="C220">
        <v>4</v>
      </c>
      <c r="D220">
        <v>7</v>
      </c>
      <c r="E220">
        <v>2</v>
      </c>
      <c r="F220" t="s">
        <v>24</v>
      </c>
      <c r="G220" t="s">
        <v>25</v>
      </c>
      <c r="H220" t="s">
        <v>18</v>
      </c>
      <c r="I220" t="s">
        <v>28</v>
      </c>
      <c r="J220" t="s">
        <v>20</v>
      </c>
      <c r="K220" t="s">
        <v>21</v>
      </c>
      <c r="L220" t="s">
        <v>20</v>
      </c>
      <c r="M220" t="s">
        <v>20</v>
      </c>
      <c r="N220">
        <v>2</v>
      </c>
      <c r="O220" t="s">
        <v>26</v>
      </c>
      <c r="P220" t="s">
        <v>29</v>
      </c>
    </row>
    <row r="221" spans="1:16" x14ac:dyDescent="0.2">
      <c r="A221">
        <v>34</v>
      </c>
      <c r="B221">
        <v>1</v>
      </c>
      <c r="C221">
        <v>3</v>
      </c>
      <c r="D221">
        <v>5</v>
      </c>
      <c r="E221">
        <v>2</v>
      </c>
      <c r="F221" t="s">
        <v>16</v>
      </c>
      <c r="G221" t="s">
        <v>17</v>
      </c>
      <c r="H221" t="s">
        <v>18</v>
      </c>
      <c r="I221" t="s">
        <v>28</v>
      </c>
      <c r="J221" t="s">
        <v>20</v>
      </c>
      <c r="K221" t="s">
        <v>20</v>
      </c>
      <c r="L221" t="s">
        <v>21</v>
      </c>
      <c r="M221" t="s">
        <v>20</v>
      </c>
      <c r="N221">
        <v>0</v>
      </c>
      <c r="O221" t="s">
        <v>22</v>
      </c>
      <c r="P221" t="s">
        <v>29</v>
      </c>
    </row>
    <row r="222" spans="1:16" x14ac:dyDescent="0.2">
      <c r="A222">
        <v>34</v>
      </c>
      <c r="B222">
        <v>4</v>
      </c>
      <c r="C222">
        <v>5</v>
      </c>
      <c r="D222">
        <v>4</v>
      </c>
      <c r="E222">
        <v>5</v>
      </c>
      <c r="F222" t="s">
        <v>24</v>
      </c>
      <c r="G222" t="s">
        <v>17</v>
      </c>
      <c r="H222" t="s">
        <v>30</v>
      </c>
      <c r="I222" t="s">
        <v>19</v>
      </c>
      <c r="J222" t="s">
        <v>21</v>
      </c>
      <c r="K222" t="s">
        <v>21</v>
      </c>
      <c r="L222" t="s">
        <v>21</v>
      </c>
      <c r="M222" t="s">
        <v>20</v>
      </c>
      <c r="N222">
        <v>1</v>
      </c>
      <c r="O222" t="s">
        <v>27</v>
      </c>
      <c r="P222" t="s">
        <v>23</v>
      </c>
    </row>
    <row r="223" spans="1:16" x14ac:dyDescent="0.2">
      <c r="A223">
        <v>48</v>
      </c>
      <c r="B223">
        <v>2</v>
      </c>
      <c r="C223">
        <v>6</v>
      </c>
      <c r="D223">
        <v>14</v>
      </c>
      <c r="E223">
        <v>5</v>
      </c>
      <c r="F223" t="s">
        <v>24</v>
      </c>
      <c r="G223" t="s">
        <v>25</v>
      </c>
      <c r="H223" t="s">
        <v>30</v>
      </c>
      <c r="I223" t="s">
        <v>19</v>
      </c>
      <c r="J223" t="s">
        <v>20</v>
      </c>
      <c r="K223" t="s">
        <v>21</v>
      </c>
      <c r="L223" t="s">
        <v>21</v>
      </c>
      <c r="M223" t="s">
        <v>20</v>
      </c>
      <c r="N223">
        <v>2</v>
      </c>
      <c r="O223" t="s">
        <v>26</v>
      </c>
      <c r="P223" t="s">
        <v>23</v>
      </c>
    </row>
    <row r="224" spans="1:16" x14ac:dyDescent="0.2">
      <c r="A224">
        <v>34</v>
      </c>
      <c r="B224">
        <v>4</v>
      </c>
      <c r="C224">
        <v>2</v>
      </c>
      <c r="D224">
        <v>15</v>
      </c>
      <c r="E224">
        <v>6</v>
      </c>
      <c r="F224" t="s">
        <v>16</v>
      </c>
      <c r="G224" t="s">
        <v>17</v>
      </c>
      <c r="H224" t="s">
        <v>18</v>
      </c>
      <c r="I224" t="s">
        <v>19</v>
      </c>
      <c r="J224" t="s">
        <v>21</v>
      </c>
      <c r="K224" t="s">
        <v>20</v>
      </c>
      <c r="L224" t="s">
        <v>20</v>
      </c>
      <c r="M224" t="s">
        <v>20</v>
      </c>
      <c r="N224">
        <v>0</v>
      </c>
      <c r="O224" t="s">
        <v>22</v>
      </c>
      <c r="P224" t="s">
        <v>31</v>
      </c>
    </row>
    <row r="225" spans="1:16" x14ac:dyDescent="0.2">
      <c r="A225">
        <v>28</v>
      </c>
      <c r="B225">
        <v>5</v>
      </c>
      <c r="C225">
        <v>1</v>
      </c>
      <c r="D225">
        <v>3</v>
      </c>
      <c r="E225">
        <v>3</v>
      </c>
      <c r="F225" t="s">
        <v>24</v>
      </c>
      <c r="G225" t="s">
        <v>17</v>
      </c>
      <c r="H225" t="s">
        <v>18</v>
      </c>
      <c r="I225" t="s">
        <v>19</v>
      </c>
      <c r="J225" t="s">
        <v>20</v>
      </c>
      <c r="K225" t="s">
        <v>20</v>
      </c>
      <c r="L225" t="s">
        <v>20</v>
      </c>
      <c r="M225" t="s">
        <v>20</v>
      </c>
      <c r="N225">
        <v>1</v>
      </c>
      <c r="O225" t="s">
        <v>27</v>
      </c>
      <c r="P225" t="s">
        <v>31</v>
      </c>
    </row>
    <row r="226" spans="1:16" x14ac:dyDescent="0.2">
      <c r="A226">
        <v>27</v>
      </c>
      <c r="B226">
        <v>2</v>
      </c>
      <c r="C226">
        <v>2</v>
      </c>
      <c r="D226">
        <v>8</v>
      </c>
      <c r="E226">
        <v>7</v>
      </c>
      <c r="F226" t="s">
        <v>16</v>
      </c>
      <c r="G226" t="s">
        <v>25</v>
      </c>
      <c r="H226" t="s">
        <v>30</v>
      </c>
      <c r="I226" t="s">
        <v>28</v>
      </c>
      <c r="J226" t="s">
        <v>21</v>
      </c>
      <c r="K226" t="s">
        <v>21</v>
      </c>
      <c r="L226" t="s">
        <v>20</v>
      </c>
      <c r="M226" t="s">
        <v>20</v>
      </c>
      <c r="N226">
        <v>1</v>
      </c>
      <c r="O226" t="s">
        <v>27</v>
      </c>
      <c r="P226" t="s">
        <v>31</v>
      </c>
    </row>
    <row r="227" spans="1:16" x14ac:dyDescent="0.2">
      <c r="A227">
        <v>54</v>
      </c>
      <c r="B227">
        <v>1</v>
      </c>
      <c r="C227">
        <v>6</v>
      </c>
      <c r="D227">
        <v>3</v>
      </c>
      <c r="E227">
        <v>1</v>
      </c>
      <c r="F227" t="s">
        <v>24</v>
      </c>
      <c r="G227" t="s">
        <v>17</v>
      </c>
      <c r="H227" t="s">
        <v>18</v>
      </c>
      <c r="I227" t="s">
        <v>28</v>
      </c>
      <c r="J227" t="s">
        <v>20</v>
      </c>
      <c r="K227" t="s">
        <v>21</v>
      </c>
      <c r="L227" t="s">
        <v>21</v>
      </c>
      <c r="M227" t="s">
        <v>21</v>
      </c>
      <c r="N227">
        <v>1</v>
      </c>
      <c r="O227" t="s">
        <v>27</v>
      </c>
      <c r="P227" t="s">
        <v>23</v>
      </c>
    </row>
    <row r="228" spans="1:16" x14ac:dyDescent="0.2">
      <c r="A228">
        <v>26</v>
      </c>
      <c r="B228">
        <v>1</v>
      </c>
      <c r="C228">
        <v>1</v>
      </c>
      <c r="D228">
        <v>13</v>
      </c>
      <c r="E228">
        <v>7</v>
      </c>
      <c r="F228" t="s">
        <v>16</v>
      </c>
      <c r="G228" t="s">
        <v>17</v>
      </c>
      <c r="H228" t="s">
        <v>18</v>
      </c>
      <c r="I228" t="s">
        <v>28</v>
      </c>
      <c r="J228" t="s">
        <v>21</v>
      </c>
      <c r="K228" t="s">
        <v>20</v>
      </c>
      <c r="L228" t="s">
        <v>20</v>
      </c>
      <c r="M228" t="s">
        <v>21</v>
      </c>
      <c r="N228">
        <v>0</v>
      </c>
      <c r="O228" t="s">
        <v>22</v>
      </c>
      <c r="P228" t="s">
        <v>31</v>
      </c>
    </row>
    <row r="229" spans="1:16" x14ac:dyDescent="0.2">
      <c r="A229">
        <v>60</v>
      </c>
      <c r="B229">
        <v>1</v>
      </c>
      <c r="C229">
        <v>3</v>
      </c>
      <c r="D229">
        <v>16</v>
      </c>
      <c r="E229">
        <v>1</v>
      </c>
      <c r="F229" t="s">
        <v>24</v>
      </c>
      <c r="G229" t="s">
        <v>17</v>
      </c>
      <c r="H229" t="s">
        <v>18</v>
      </c>
      <c r="I229" t="s">
        <v>19</v>
      </c>
      <c r="J229" t="s">
        <v>20</v>
      </c>
      <c r="K229" t="s">
        <v>21</v>
      </c>
      <c r="L229" t="s">
        <v>21</v>
      </c>
      <c r="M229" t="s">
        <v>20</v>
      </c>
      <c r="N229">
        <v>1</v>
      </c>
      <c r="O229" t="s">
        <v>27</v>
      </c>
      <c r="P229" t="s">
        <v>29</v>
      </c>
    </row>
    <row r="230" spans="1:16" x14ac:dyDescent="0.2">
      <c r="A230">
        <v>32</v>
      </c>
      <c r="B230">
        <v>2</v>
      </c>
      <c r="C230">
        <v>1</v>
      </c>
      <c r="D230">
        <v>13</v>
      </c>
      <c r="E230">
        <v>5</v>
      </c>
      <c r="F230" t="s">
        <v>24</v>
      </c>
      <c r="G230" t="s">
        <v>17</v>
      </c>
      <c r="H230" t="s">
        <v>18</v>
      </c>
      <c r="I230" t="s">
        <v>28</v>
      </c>
      <c r="J230" t="s">
        <v>21</v>
      </c>
      <c r="K230" t="s">
        <v>20</v>
      </c>
      <c r="L230" t="s">
        <v>20</v>
      </c>
      <c r="M230" t="s">
        <v>20</v>
      </c>
      <c r="N230">
        <v>1</v>
      </c>
      <c r="O230" t="s">
        <v>27</v>
      </c>
      <c r="P230" t="s">
        <v>31</v>
      </c>
    </row>
    <row r="231" spans="1:16" x14ac:dyDescent="0.2">
      <c r="A231">
        <v>59</v>
      </c>
      <c r="B231">
        <v>5</v>
      </c>
      <c r="C231">
        <v>7</v>
      </c>
      <c r="D231">
        <v>16</v>
      </c>
      <c r="E231">
        <v>6</v>
      </c>
      <c r="F231" t="s">
        <v>16</v>
      </c>
      <c r="G231" t="s">
        <v>25</v>
      </c>
      <c r="H231" t="s">
        <v>30</v>
      </c>
      <c r="I231" t="s">
        <v>28</v>
      </c>
      <c r="J231" t="s">
        <v>20</v>
      </c>
      <c r="K231" t="s">
        <v>21</v>
      </c>
      <c r="L231" t="s">
        <v>21</v>
      </c>
      <c r="M231" t="s">
        <v>21</v>
      </c>
      <c r="N231">
        <v>1</v>
      </c>
      <c r="O231" t="s">
        <v>27</v>
      </c>
      <c r="P231" t="s">
        <v>23</v>
      </c>
    </row>
    <row r="232" spans="1:16" x14ac:dyDescent="0.2">
      <c r="A232">
        <v>34</v>
      </c>
      <c r="B232">
        <v>4</v>
      </c>
      <c r="C232">
        <v>6</v>
      </c>
      <c r="D232">
        <v>19</v>
      </c>
      <c r="E232">
        <v>7</v>
      </c>
      <c r="F232" t="s">
        <v>16</v>
      </c>
      <c r="G232" t="s">
        <v>17</v>
      </c>
      <c r="H232" t="s">
        <v>30</v>
      </c>
      <c r="I232" t="s">
        <v>19</v>
      </c>
      <c r="J232" t="s">
        <v>21</v>
      </c>
      <c r="K232" t="s">
        <v>21</v>
      </c>
      <c r="L232" t="s">
        <v>21</v>
      </c>
      <c r="M232" t="s">
        <v>21</v>
      </c>
      <c r="N232">
        <v>0</v>
      </c>
      <c r="O232" t="s">
        <v>22</v>
      </c>
      <c r="P232" t="s">
        <v>23</v>
      </c>
    </row>
    <row r="233" spans="1:16" x14ac:dyDescent="0.2">
      <c r="A233">
        <v>46</v>
      </c>
      <c r="B233">
        <v>5</v>
      </c>
      <c r="C233">
        <v>6</v>
      </c>
      <c r="D233">
        <v>7</v>
      </c>
      <c r="E233">
        <v>6</v>
      </c>
      <c r="F233" t="s">
        <v>16</v>
      </c>
      <c r="G233" t="s">
        <v>17</v>
      </c>
      <c r="H233" t="s">
        <v>18</v>
      </c>
      <c r="I233" t="s">
        <v>19</v>
      </c>
      <c r="J233" t="s">
        <v>20</v>
      </c>
      <c r="K233" t="s">
        <v>20</v>
      </c>
      <c r="L233" t="s">
        <v>20</v>
      </c>
      <c r="M233" t="s">
        <v>20</v>
      </c>
      <c r="N233">
        <v>0</v>
      </c>
      <c r="O233" t="s">
        <v>22</v>
      </c>
      <c r="P233" t="s">
        <v>23</v>
      </c>
    </row>
    <row r="234" spans="1:16" x14ac:dyDescent="0.2">
      <c r="A234">
        <v>22</v>
      </c>
      <c r="B234">
        <v>5</v>
      </c>
      <c r="C234">
        <v>1</v>
      </c>
      <c r="D234">
        <v>20</v>
      </c>
      <c r="E234">
        <v>5</v>
      </c>
      <c r="F234" t="s">
        <v>24</v>
      </c>
      <c r="G234" t="s">
        <v>25</v>
      </c>
      <c r="H234" t="s">
        <v>30</v>
      </c>
      <c r="I234" t="s">
        <v>28</v>
      </c>
      <c r="J234" t="s">
        <v>21</v>
      </c>
      <c r="K234" t="s">
        <v>21</v>
      </c>
      <c r="L234" t="s">
        <v>20</v>
      </c>
      <c r="M234" t="s">
        <v>21</v>
      </c>
      <c r="N234">
        <v>2</v>
      </c>
      <c r="O234" t="s">
        <v>26</v>
      </c>
      <c r="P234" t="s">
        <v>31</v>
      </c>
    </row>
    <row r="235" spans="1:16" x14ac:dyDescent="0.2">
      <c r="A235">
        <v>44</v>
      </c>
      <c r="B235">
        <v>1</v>
      </c>
      <c r="C235">
        <v>3</v>
      </c>
      <c r="D235">
        <v>15</v>
      </c>
      <c r="E235">
        <v>1</v>
      </c>
      <c r="F235" t="s">
        <v>16</v>
      </c>
      <c r="G235" t="s">
        <v>17</v>
      </c>
      <c r="H235" t="s">
        <v>18</v>
      </c>
      <c r="I235" t="s">
        <v>28</v>
      </c>
      <c r="J235" t="s">
        <v>20</v>
      </c>
      <c r="K235" t="s">
        <v>20</v>
      </c>
      <c r="L235" t="s">
        <v>21</v>
      </c>
      <c r="M235" t="s">
        <v>21</v>
      </c>
      <c r="N235">
        <v>0</v>
      </c>
      <c r="O235" t="s">
        <v>22</v>
      </c>
      <c r="P235" t="s">
        <v>29</v>
      </c>
    </row>
    <row r="236" spans="1:16" x14ac:dyDescent="0.2">
      <c r="A236">
        <v>53</v>
      </c>
      <c r="B236">
        <v>1</v>
      </c>
      <c r="C236">
        <v>4</v>
      </c>
      <c r="D236">
        <v>1</v>
      </c>
      <c r="E236">
        <v>6</v>
      </c>
      <c r="F236" t="s">
        <v>16</v>
      </c>
      <c r="G236" t="s">
        <v>25</v>
      </c>
      <c r="H236" t="s">
        <v>18</v>
      </c>
      <c r="I236" t="s">
        <v>28</v>
      </c>
      <c r="J236" t="s">
        <v>20</v>
      </c>
      <c r="K236" t="s">
        <v>21</v>
      </c>
      <c r="L236" t="s">
        <v>20</v>
      </c>
      <c r="M236" t="s">
        <v>21</v>
      </c>
      <c r="N236">
        <v>1</v>
      </c>
      <c r="O236" t="s">
        <v>27</v>
      </c>
      <c r="P236" t="s">
        <v>29</v>
      </c>
    </row>
    <row r="237" spans="1:16" x14ac:dyDescent="0.2">
      <c r="A237">
        <v>47</v>
      </c>
      <c r="B237">
        <v>2</v>
      </c>
      <c r="C237">
        <v>2</v>
      </c>
      <c r="D237">
        <v>8</v>
      </c>
      <c r="E237">
        <v>2</v>
      </c>
      <c r="F237" t="s">
        <v>24</v>
      </c>
      <c r="G237" t="s">
        <v>17</v>
      </c>
      <c r="H237" t="s">
        <v>18</v>
      </c>
      <c r="I237" t="s">
        <v>28</v>
      </c>
      <c r="J237" t="s">
        <v>20</v>
      </c>
      <c r="K237" t="s">
        <v>21</v>
      </c>
      <c r="L237" t="s">
        <v>21</v>
      </c>
      <c r="M237" t="s">
        <v>20</v>
      </c>
      <c r="N237">
        <v>1</v>
      </c>
      <c r="O237" t="s">
        <v>27</v>
      </c>
      <c r="P237" t="s">
        <v>31</v>
      </c>
    </row>
    <row r="238" spans="1:16" x14ac:dyDescent="0.2">
      <c r="A238">
        <v>48</v>
      </c>
      <c r="B238">
        <v>3</v>
      </c>
      <c r="C238">
        <v>7</v>
      </c>
      <c r="D238">
        <v>7</v>
      </c>
      <c r="E238">
        <v>1</v>
      </c>
      <c r="F238" t="s">
        <v>24</v>
      </c>
      <c r="G238" t="s">
        <v>17</v>
      </c>
      <c r="H238" t="s">
        <v>18</v>
      </c>
      <c r="I238" t="s">
        <v>19</v>
      </c>
      <c r="J238" t="s">
        <v>20</v>
      </c>
      <c r="K238" t="s">
        <v>21</v>
      </c>
      <c r="L238" t="s">
        <v>21</v>
      </c>
      <c r="M238" t="s">
        <v>21</v>
      </c>
      <c r="N238">
        <v>1</v>
      </c>
      <c r="O238" t="s">
        <v>27</v>
      </c>
      <c r="P238" t="s">
        <v>23</v>
      </c>
    </row>
    <row r="239" spans="1:16" x14ac:dyDescent="0.2">
      <c r="A239">
        <v>23</v>
      </c>
      <c r="B239">
        <v>5</v>
      </c>
      <c r="C239">
        <v>7</v>
      </c>
      <c r="D239">
        <v>0</v>
      </c>
      <c r="E239">
        <v>3</v>
      </c>
      <c r="F239" t="s">
        <v>16</v>
      </c>
      <c r="G239" t="s">
        <v>25</v>
      </c>
      <c r="H239" t="s">
        <v>18</v>
      </c>
      <c r="I239" t="s">
        <v>28</v>
      </c>
      <c r="J239" t="s">
        <v>20</v>
      </c>
      <c r="K239" t="s">
        <v>21</v>
      </c>
      <c r="L239" t="s">
        <v>21</v>
      </c>
      <c r="M239" t="s">
        <v>21</v>
      </c>
      <c r="N239">
        <v>1</v>
      </c>
      <c r="O239" t="s">
        <v>27</v>
      </c>
      <c r="P239" t="s">
        <v>23</v>
      </c>
    </row>
    <row r="240" spans="1:16" x14ac:dyDescent="0.2">
      <c r="A240">
        <v>54</v>
      </c>
      <c r="B240">
        <v>1</v>
      </c>
      <c r="C240">
        <v>5</v>
      </c>
      <c r="D240">
        <v>1</v>
      </c>
      <c r="E240">
        <v>7</v>
      </c>
      <c r="F240" t="s">
        <v>24</v>
      </c>
      <c r="G240" t="s">
        <v>17</v>
      </c>
      <c r="H240" t="s">
        <v>30</v>
      </c>
      <c r="I240" t="s">
        <v>28</v>
      </c>
      <c r="J240" t="s">
        <v>21</v>
      </c>
      <c r="K240" t="s">
        <v>21</v>
      </c>
      <c r="L240" t="s">
        <v>20</v>
      </c>
      <c r="M240" t="s">
        <v>20</v>
      </c>
      <c r="N240">
        <v>1</v>
      </c>
      <c r="O240" t="s">
        <v>27</v>
      </c>
      <c r="P240" t="s">
        <v>23</v>
      </c>
    </row>
    <row r="241" spans="1:16" x14ac:dyDescent="0.2">
      <c r="A241">
        <v>42</v>
      </c>
      <c r="B241">
        <v>5</v>
      </c>
      <c r="C241">
        <v>7</v>
      </c>
      <c r="D241">
        <v>2</v>
      </c>
      <c r="E241">
        <v>6</v>
      </c>
      <c r="F241" t="s">
        <v>16</v>
      </c>
      <c r="G241" t="s">
        <v>17</v>
      </c>
      <c r="H241" t="s">
        <v>18</v>
      </c>
      <c r="I241" t="s">
        <v>19</v>
      </c>
      <c r="J241" t="s">
        <v>21</v>
      </c>
      <c r="K241" t="s">
        <v>20</v>
      </c>
      <c r="L241" t="s">
        <v>20</v>
      </c>
      <c r="M241" t="s">
        <v>20</v>
      </c>
      <c r="N241">
        <v>0</v>
      </c>
      <c r="O241" t="s">
        <v>22</v>
      </c>
      <c r="P241" t="s">
        <v>23</v>
      </c>
    </row>
    <row r="242" spans="1:16" x14ac:dyDescent="0.2">
      <c r="A242">
        <v>53</v>
      </c>
      <c r="B242">
        <v>2</v>
      </c>
      <c r="C242">
        <v>6</v>
      </c>
      <c r="D242">
        <v>5</v>
      </c>
      <c r="E242">
        <v>6</v>
      </c>
      <c r="F242" t="s">
        <v>16</v>
      </c>
      <c r="G242" t="s">
        <v>17</v>
      </c>
      <c r="H242" t="s">
        <v>18</v>
      </c>
      <c r="I242" t="s">
        <v>28</v>
      </c>
      <c r="J242" t="s">
        <v>20</v>
      </c>
      <c r="K242" t="s">
        <v>20</v>
      </c>
      <c r="L242" t="s">
        <v>21</v>
      </c>
      <c r="M242" t="s">
        <v>21</v>
      </c>
      <c r="N242">
        <v>0</v>
      </c>
      <c r="O242" t="s">
        <v>22</v>
      </c>
      <c r="P242" t="s">
        <v>23</v>
      </c>
    </row>
    <row r="243" spans="1:16" x14ac:dyDescent="0.2">
      <c r="A243">
        <v>21</v>
      </c>
      <c r="B243">
        <v>4</v>
      </c>
      <c r="C243">
        <v>5</v>
      </c>
      <c r="D243">
        <v>12</v>
      </c>
      <c r="E243">
        <v>3</v>
      </c>
      <c r="F243" t="s">
        <v>16</v>
      </c>
      <c r="G243" t="s">
        <v>25</v>
      </c>
      <c r="H243" t="s">
        <v>18</v>
      </c>
      <c r="I243" t="s">
        <v>19</v>
      </c>
      <c r="J243" t="s">
        <v>20</v>
      </c>
      <c r="K243" t="s">
        <v>21</v>
      </c>
      <c r="L243" t="s">
        <v>20</v>
      </c>
      <c r="M243" t="s">
        <v>21</v>
      </c>
      <c r="N243">
        <v>1</v>
      </c>
      <c r="O243" t="s">
        <v>27</v>
      </c>
      <c r="P243" t="s">
        <v>23</v>
      </c>
    </row>
    <row r="244" spans="1:16" x14ac:dyDescent="0.2">
      <c r="A244">
        <v>35</v>
      </c>
      <c r="B244">
        <v>5</v>
      </c>
      <c r="C244">
        <v>7</v>
      </c>
      <c r="D244">
        <v>1</v>
      </c>
      <c r="E244">
        <v>6</v>
      </c>
      <c r="F244" t="s">
        <v>24</v>
      </c>
      <c r="G244" t="s">
        <v>25</v>
      </c>
      <c r="H244" t="s">
        <v>30</v>
      </c>
      <c r="I244" t="s">
        <v>19</v>
      </c>
      <c r="J244" t="s">
        <v>21</v>
      </c>
      <c r="K244" t="s">
        <v>21</v>
      </c>
      <c r="L244" t="s">
        <v>21</v>
      </c>
      <c r="M244" t="s">
        <v>20</v>
      </c>
      <c r="N244">
        <v>2</v>
      </c>
      <c r="O244" t="s">
        <v>26</v>
      </c>
      <c r="P244" t="s">
        <v>23</v>
      </c>
    </row>
    <row r="245" spans="1:16" x14ac:dyDescent="0.2">
      <c r="A245">
        <v>18</v>
      </c>
      <c r="B245">
        <v>2</v>
      </c>
      <c r="C245">
        <v>4</v>
      </c>
      <c r="D245">
        <v>19</v>
      </c>
      <c r="E245">
        <v>7</v>
      </c>
      <c r="F245" t="s">
        <v>24</v>
      </c>
      <c r="G245" t="s">
        <v>17</v>
      </c>
      <c r="H245" t="s">
        <v>18</v>
      </c>
      <c r="I245" t="s">
        <v>19</v>
      </c>
      <c r="J245" t="s">
        <v>20</v>
      </c>
      <c r="K245" t="s">
        <v>21</v>
      </c>
      <c r="L245" t="s">
        <v>21</v>
      </c>
      <c r="M245" t="s">
        <v>20</v>
      </c>
      <c r="N245">
        <v>1</v>
      </c>
      <c r="O245" t="s">
        <v>27</v>
      </c>
      <c r="P245" t="s">
        <v>29</v>
      </c>
    </row>
    <row r="246" spans="1:16" x14ac:dyDescent="0.2">
      <c r="A246">
        <v>34</v>
      </c>
      <c r="B246">
        <v>5</v>
      </c>
      <c r="C246">
        <v>7</v>
      </c>
      <c r="D246">
        <v>13</v>
      </c>
      <c r="E246">
        <v>2</v>
      </c>
      <c r="F246" t="s">
        <v>24</v>
      </c>
      <c r="G246" t="s">
        <v>25</v>
      </c>
      <c r="H246" t="s">
        <v>18</v>
      </c>
      <c r="I246" t="s">
        <v>19</v>
      </c>
      <c r="J246" t="s">
        <v>20</v>
      </c>
      <c r="K246" t="s">
        <v>20</v>
      </c>
      <c r="L246" t="s">
        <v>20</v>
      </c>
      <c r="M246" t="s">
        <v>21</v>
      </c>
      <c r="N246">
        <v>2</v>
      </c>
      <c r="O246" t="s">
        <v>26</v>
      </c>
      <c r="P246" t="s">
        <v>23</v>
      </c>
    </row>
    <row r="247" spans="1:16" x14ac:dyDescent="0.2">
      <c r="A247">
        <v>36</v>
      </c>
      <c r="B247">
        <v>3</v>
      </c>
      <c r="C247">
        <v>5</v>
      </c>
      <c r="D247">
        <v>2</v>
      </c>
      <c r="E247">
        <v>4</v>
      </c>
      <c r="F247" t="s">
        <v>24</v>
      </c>
      <c r="G247" t="s">
        <v>25</v>
      </c>
      <c r="H247" t="s">
        <v>18</v>
      </c>
      <c r="I247" t="s">
        <v>19</v>
      </c>
      <c r="J247" t="s">
        <v>20</v>
      </c>
      <c r="K247" t="s">
        <v>21</v>
      </c>
      <c r="L247" t="s">
        <v>20</v>
      </c>
      <c r="M247" t="s">
        <v>20</v>
      </c>
      <c r="N247">
        <v>2</v>
      </c>
      <c r="O247" t="s">
        <v>26</v>
      </c>
      <c r="P247" t="s">
        <v>23</v>
      </c>
    </row>
    <row r="248" spans="1:16" x14ac:dyDescent="0.2">
      <c r="A248">
        <v>44</v>
      </c>
      <c r="B248">
        <v>2</v>
      </c>
      <c r="C248">
        <v>3</v>
      </c>
      <c r="D248">
        <v>6</v>
      </c>
      <c r="E248">
        <v>1</v>
      </c>
      <c r="F248" t="s">
        <v>24</v>
      </c>
      <c r="G248" t="s">
        <v>17</v>
      </c>
      <c r="H248" t="s">
        <v>18</v>
      </c>
      <c r="I248" t="s">
        <v>28</v>
      </c>
      <c r="J248" t="s">
        <v>20</v>
      </c>
      <c r="K248" t="s">
        <v>21</v>
      </c>
      <c r="L248" t="s">
        <v>21</v>
      </c>
      <c r="M248" t="s">
        <v>21</v>
      </c>
      <c r="N248">
        <v>1</v>
      </c>
      <c r="O248" t="s">
        <v>27</v>
      </c>
      <c r="P248" t="s">
        <v>29</v>
      </c>
    </row>
    <row r="249" spans="1:16" x14ac:dyDescent="0.2">
      <c r="A249">
        <v>38</v>
      </c>
      <c r="B249">
        <v>2</v>
      </c>
      <c r="C249">
        <v>2</v>
      </c>
      <c r="D249">
        <v>10</v>
      </c>
      <c r="E249">
        <v>5</v>
      </c>
      <c r="F249" t="s">
        <v>16</v>
      </c>
      <c r="G249" t="s">
        <v>17</v>
      </c>
      <c r="H249" t="s">
        <v>18</v>
      </c>
      <c r="I249" t="s">
        <v>28</v>
      </c>
      <c r="J249" t="s">
        <v>20</v>
      </c>
      <c r="K249" t="s">
        <v>21</v>
      </c>
      <c r="L249" t="s">
        <v>21</v>
      </c>
      <c r="M249" t="s">
        <v>21</v>
      </c>
      <c r="N249">
        <v>0</v>
      </c>
      <c r="O249" t="s">
        <v>22</v>
      </c>
      <c r="P249" t="s">
        <v>31</v>
      </c>
    </row>
    <row r="250" spans="1:16" x14ac:dyDescent="0.2">
      <c r="A250">
        <v>26</v>
      </c>
      <c r="B250">
        <v>5</v>
      </c>
      <c r="C250">
        <v>5</v>
      </c>
      <c r="D250">
        <v>12</v>
      </c>
      <c r="E250">
        <v>2</v>
      </c>
      <c r="F250" t="s">
        <v>16</v>
      </c>
      <c r="G250" t="s">
        <v>25</v>
      </c>
      <c r="H250" t="s">
        <v>18</v>
      </c>
      <c r="I250" t="s">
        <v>28</v>
      </c>
      <c r="J250" t="s">
        <v>20</v>
      </c>
      <c r="K250" t="s">
        <v>21</v>
      </c>
      <c r="L250" t="s">
        <v>21</v>
      </c>
      <c r="M250" t="s">
        <v>21</v>
      </c>
      <c r="N250">
        <v>1</v>
      </c>
      <c r="O250" t="s">
        <v>27</v>
      </c>
      <c r="P250" t="s">
        <v>23</v>
      </c>
    </row>
    <row r="251" spans="1:16" x14ac:dyDescent="0.2">
      <c r="A251">
        <v>59</v>
      </c>
      <c r="B251">
        <v>3</v>
      </c>
      <c r="C251">
        <v>7</v>
      </c>
      <c r="D251">
        <v>5</v>
      </c>
      <c r="E251">
        <v>5</v>
      </c>
      <c r="F251" t="s">
        <v>16</v>
      </c>
      <c r="G251" t="s">
        <v>25</v>
      </c>
      <c r="H251" t="s">
        <v>18</v>
      </c>
      <c r="I251" t="s">
        <v>28</v>
      </c>
      <c r="J251" t="s">
        <v>20</v>
      </c>
      <c r="K251" t="s">
        <v>21</v>
      </c>
      <c r="L251" t="s">
        <v>20</v>
      </c>
      <c r="M251" t="s">
        <v>21</v>
      </c>
      <c r="N251">
        <v>1</v>
      </c>
      <c r="O251" t="s">
        <v>27</v>
      </c>
      <c r="P251" t="s">
        <v>23</v>
      </c>
    </row>
  </sheetData>
  <phoneticPr fontId="1" type="noConversion"/>
  <pageMargins left="0.7" right="0.7" top="0.75" bottom="0.75" header="0.3" footer="0.3"/>
  <pageSetup paperSize="9" orientation="portrait" horizontalDpi="0" verticalDpi="0"/>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D72B59D-0893-694E-85AC-114AB9F0784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PivotTable</vt:lpstr>
      <vt:lpstr>Dashboard</vt:lpstr>
      <vt:lpstr>Dataset Description</vt:lpstr>
      <vt:lpstr>Questions</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Sebastian</dc:creator>
  <cp:lastModifiedBy>David Sebastian</cp:lastModifiedBy>
  <dcterms:created xsi:type="dcterms:W3CDTF">2026-02-12T05:07:47Z</dcterms:created>
  <dcterms:modified xsi:type="dcterms:W3CDTF">2026-02-13T13:53:37Z</dcterms:modified>
</cp:coreProperties>
</file>